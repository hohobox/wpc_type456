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0_NML\Release\b_pf_autosar_cdd_Nml-2.1.1_240731\b_autosar_cdd_Nml\doc\Report\"/>
    </mc:Choice>
  </mc:AlternateContent>
  <xr:revisionPtr revIDLastSave="0" documentId="13_ncr:1_{8561B28B-560E-4BB9-A3EE-C57EA69D274A}" xr6:coauthVersionLast="47" xr6:coauthVersionMax="47" xr10:uidLastSave="{00000000-0000-0000-0000-000000000000}"/>
  <bookViews>
    <workbookView xWindow="-120" yWindow="-120" windowWidth="25440" windowHeight="15390" activeTab="1" xr2:uid="{F7A6E2F7-8748-404E-9791-1BE82CBCD42A}"/>
  </bookViews>
  <sheets>
    <sheet name="Macro" sheetId="2" r:id="rId1"/>
    <sheet name="CERT C" sheetId="3" r:id="rId2"/>
    <sheet name="Defect" sheetId="4" r:id="rId3"/>
    <sheet name="보안코딩성적" sheetId="6" r:id="rId4"/>
    <sheet name="Template Revision History" sheetId="7" r:id="rId5"/>
  </sheets>
  <definedNames>
    <definedName name="_xlnm._FilterDatabase" localSheetId="3" hidden="1">보안코딩성적!$A$1:$J$214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77" i="6" l="1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C98" i="4" l="1"/>
  <c r="L176" i="6" l="1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H84" i="6"/>
  <c r="H17" i="6"/>
  <c r="K210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G16" i="6" s="1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5" i="6"/>
  <c r="G84" i="6" s="1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" i="6"/>
  <c r="G210" i="6" l="1"/>
  <c r="K209" i="6" l="1"/>
  <c r="O3" i="6"/>
  <c r="O5" i="6"/>
  <c r="O4" i="6"/>
  <c r="K84" i="6"/>
  <c r="K148" i="6"/>
  <c r="K3" i="6" l="1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8" i="6"/>
  <c r="K19" i="6"/>
  <c r="K20" i="6"/>
  <c r="K21" i="6"/>
  <c r="K22" i="6"/>
  <c r="K23" i="6"/>
  <c r="K24" i="6"/>
  <c r="K25" i="6"/>
  <c r="K33" i="6"/>
  <c r="K34" i="6"/>
  <c r="K35" i="6"/>
  <c r="K36" i="6"/>
  <c r="K37" i="6"/>
  <c r="K38" i="6"/>
  <c r="K39" i="6"/>
  <c r="K40" i="6"/>
  <c r="K44" i="6"/>
  <c r="K45" i="6"/>
  <c r="K46" i="6"/>
  <c r="K57" i="6"/>
  <c r="K58" i="6"/>
  <c r="K59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9" i="6"/>
  <c r="K194" i="6"/>
  <c r="K195" i="6"/>
  <c r="K196" i="6"/>
  <c r="K197" i="6"/>
  <c r="K198" i="6"/>
  <c r="K199" i="6"/>
  <c r="K200" i="6"/>
  <c r="K201" i="6"/>
  <c r="K2" i="6"/>
  <c r="G3" i="6"/>
  <c r="F3" i="6" s="1"/>
  <c r="G4" i="6"/>
  <c r="F4" i="6" s="1"/>
  <c r="G5" i="6"/>
  <c r="F5" i="6" s="1"/>
  <c r="G6" i="6"/>
  <c r="F6" i="6" s="1"/>
  <c r="G7" i="6"/>
  <c r="F7" i="6" s="1"/>
  <c r="G8" i="6"/>
  <c r="F8" i="6" s="1"/>
  <c r="G9" i="6"/>
  <c r="F9" i="6" s="1"/>
  <c r="G10" i="6"/>
  <c r="F10" i="6" s="1"/>
  <c r="G11" i="6"/>
  <c r="F11" i="6" s="1"/>
  <c r="G12" i="6"/>
  <c r="F12" i="6" s="1"/>
  <c r="G13" i="6"/>
  <c r="F13" i="6" s="1"/>
  <c r="G14" i="6"/>
  <c r="F14" i="6" s="1"/>
  <c r="G15" i="6"/>
  <c r="F15" i="6" s="1"/>
  <c r="G18" i="6"/>
  <c r="F18" i="6" s="1"/>
  <c r="G19" i="6"/>
  <c r="F19" i="6" s="1"/>
  <c r="G20" i="6"/>
  <c r="F20" i="6" s="1"/>
  <c r="G21" i="6"/>
  <c r="F21" i="6" s="1"/>
  <c r="G22" i="6"/>
  <c r="F22" i="6" s="1"/>
  <c r="G23" i="6"/>
  <c r="F23" i="6" s="1"/>
  <c r="G24" i="6"/>
  <c r="F24" i="6" s="1"/>
  <c r="G25" i="6"/>
  <c r="F25" i="6" s="1"/>
  <c r="G33" i="6"/>
  <c r="F33" i="6" s="1"/>
  <c r="G34" i="6"/>
  <c r="F34" i="6" s="1"/>
  <c r="G35" i="6"/>
  <c r="F35" i="6" s="1"/>
  <c r="G36" i="6"/>
  <c r="F36" i="6" s="1"/>
  <c r="G37" i="6"/>
  <c r="F37" i="6" s="1"/>
  <c r="G38" i="6"/>
  <c r="F38" i="6" s="1"/>
  <c r="G39" i="6"/>
  <c r="F39" i="6" s="1"/>
  <c r="G40" i="6"/>
  <c r="F40" i="6" s="1"/>
  <c r="G44" i="6"/>
  <c r="F44" i="6" s="1"/>
  <c r="G45" i="6"/>
  <c r="F45" i="6" s="1"/>
  <c r="G46" i="6"/>
  <c r="F46" i="6" s="1"/>
  <c r="G57" i="6"/>
  <c r="F57" i="6" s="1"/>
  <c r="G58" i="6"/>
  <c r="F58" i="6" s="1"/>
  <c r="G59" i="6"/>
  <c r="F59" i="6" s="1"/>
  <c r="G62" i="6"/>
  <c r="F62" i="6" s="1"/>
  <c r="G63" i="6"/>
  <c r="F63" i="6" s="1"/>
  <c r="G64" i="6"/>
  <c r="F64" i="6" s="1"/>
  <c r="G65" i="6"/>
  <c r="F65" i="6" s="1"/>
  <c r="G66" i="6"/>
  <c r="F66" i="6" s="1"/>
  <c r="G67" i="6"/>
  <c r="F67" i="6" s="1"/>
  <c r="G68" i="6"/>
  <c r="F68" i="6" s="1"/>
  <c r="G69" i="6"/>
  <c r="F69" i="6" s="1"/>
  <c r="G70" i="6"/>
  <c r="F70" i="6" s="1"/>
  <c r="G71" i="6"/>
  <c r="F71" i="6" s="1"/>
  <c r="G72" i="6"/>
  <c r="F72" i="6" s="1"/>
  <c r="G73" i="6"/>
  <c r="F73" i="6" s="1"/>
  <c r="G74" i="6"/>
  <c r="F74" i="6" s="1"/>
  <c r="G75" i="6"/>
  <c r="F75" i="6" s="1"/>
  <c r="G76" i="6"/>
  <c r="F76" i="6" s="1"/>
  <c r="G77" i="6"/>
  <c r="F77" i="6" s="1"/>
  <c r="G78" i="6"/>
  <c r="F78" i="6" s="1"/>
  <c r="G79" i="6"/>
  <c r="F79" i="6" s="1"/>
  <c r="F84" i="6"/>
  <c r="G103" i="6"/>
  <c r="F103" i="6" s="1"/>
  <c r="G104" i="6"/>
  <c r="F104" i="6" s="1"/>
  <c r="G105" i="6"/>
  <c r="F105" i="6" s="1"/>
  <c r="G106" i="6"/>
  <c r="F106" i="6" s="1"/>
  <c r="G107" i="6"/>
  <c r="F107" i="6" s="1"/>
  <c r="G108" i="6"/>
  <c r="F108" i="6" s="1"/>
  <c r="G109" i="6"/>
  <c r="F109" i="6" s="1"/>
  <c r="G110" i="6"/>
  <c r="F110" i="6" s="1"/>
  <c r="G111" i="6"/>
  <c r="F111" i="6" s="1"/>
  <c r="G112" i="6"/>
  <c r="F112" i="6" s="1"/>
  <c r="G113" i="6"/>
  <c r="F113" i="6" s="1"/>
  <c r="G114" i="6"/>
  <c r="F114" i="6" s="1"/>
  <c r="G115" i="6"/>
  <c r="F115" i="6" s="1"/>
  <c r="G116" i="6"/>
  <c r="F116" i="6" s="1"/>
  <c r="G117" i="6"/>
  <c r="F117" i="6" s="1"/>
  <c r="G118" i="6"/>
  <c r="F118" i="6" s="1"/>
  <c r="G119" i="6"/>
  <c r="F119" i="6" s="1"/>
  <c r="G120" i="6"/>
  <c r="F120" i="6" s="1"/>
  <c r="G123" i="6"/>
  <c r="F123" i="6" s="1"/>
  <c r="G124" i="6"/>
  <c r="F124" i="6" s="1"/>
  <c r="G125" i="6"/>
  <c r="F125" i="6" s="1"/>
  <c r="G126" i="6"/>
  <c r="F126" i="6" s="1"/>
  <c r="G127" i="6"/>
  <c r="F127" i="6" s="1"/>
  <c r="G128" i="6"/>
  <c r="F128" i="6" s="1"/>
  <c r="G129" i="6"/>
  <c r="F129" i="6" s="1"/>
  <c r="G130" i="6"/>
  <c r="F130" i="6" s="1"/>
  <c r="G131" i="6"/>
  <c r="F131" i="6" s="1"/>
  <c r="G132" i="6"/>
  <c r="F132" i="6" s="1"/>
  <c r="G133" i="6"/>
  <c r="F133" i="6" s="1"/>
  <c r="G134" i="6"/>
  <c r="F134" i="6" s="1"/>
  <c r="G135" i="6"/>
  <c r="F135" i="6" s="1"/>
  <c r="G136" i="6"/>
  <c r="F136" i="6" s="1"/>
  <c r="G137" i="6"/>
  <c r="F137" i="6" s="1"/>
  <c r="G138" i="6"/>
  <c r="F138" i="6" s="1"/>
  <c r="G139" i="6"/>
  <c r="F139" i="6" s="1"/>
  <c r="G140" i="6"/>
  <c r="F140" i="6" s="1"/>
  <c r="G141" i="6"/>
  <c r="F141" i="6" s="1"/>
  <c r="G142" i="6"/>
  <c r="F142" i="6" s="1"/>
  <c r="G143" i="6"/>
  <c r="F143" i="6" s="1"/>
  <c r="G144" i="6"/>
  <c r="F144" i="6" s="1"/>
  <c r="G145" i="6"/>
  <c r="F145" i="6" s="1"/>
  <c r="G146" i="6"/>
  <c r="F146" i="6" s="1"/>
  <c r="G147" i="6"/>
  <c r="F147" i="6" s="1"/>
  <c r="G148" i="6"/>
  <c r="F148" i="6" s="1"/>
  <c r="G149" i="6"/>
  <c r="F149" i="6" s="1"/>
  <c r="G194" i="6"/>
  <c r="F194" i="6" s="1"/>
  <c r="G195" i="6"/>
  <c r="F195" i="6" s="1"/>
  <c r="G196" i="6"/>
  <c r="F196" i="6" s="1"/>
  <c r="G197" i="6"/>
  <c r="F197" i="6" s="1"/>
  <c r="G198" i="6"/>
  <c r="F198" i="6" s="1"/>
  <c r="G199" i="6"/>
  <c r="F199" i="6" s="1"/>
  <c r="G200" i="6"/>
  <c r="F200" i="6" s="1"/>
  <c r="G201" i="6"/>
  <c r="F201" i="6" s="1"/>
  <c r="G209" i="6"/>
  <c r="F209" i="6" s="1"/>
  <c r="G2" i="6"/>
  <c r="D95" i="3"/>
  <c r="K86" i="6" l="1"/>
  <c r="G86" i="6"/>
  <c r="F86" i="6" s="1"/>
  <c r="K212" i="6"/>
  <c r="K60" i="6"/>
  <c r="K182" i="6"/>
  <c r="K98" i="6"/>
  <c r="K41" i="6"/>
  <c r="K121" i="6"/>
  <c r="K47" i="6"/>
  <c r="K180" i="6"/>
  <c r="K150" i="6"/>
  <c r="K155" i="6"/>
  <c r="K80" i="6"/>
  <c r="K26" i="6"/>
  <c r="K202" i="6"/>
  <c r="K190" i="6"/>
  <c r="K184" i="6"/>
  <c r="K160" i="6"/>
  <c r="K171" i="6"/>
  <c r="G60" i="6"/>
  <c r="F60" i="6" s="1"/>
  <c r="F210" i="6"/>
  <c r="F2" i="6"/>
  <c r="G212" i="6"/>
  <c r="F212" i="6" s="1"/>
  <c r="G121" i="6"/>
  <c r="F121" i="6" s="1"/>
  <c r="G180" i="6"/>
  <c r="F180" i="6" s="1"/>
  <c r="G80" i="6"/>
  <c r="F80" i="6" s="1"/>
  <c r="G190" i="6"/>
  <c r="F190" i="6" s="1"/>
  <c r="G202" i="6"/>
  <c r="F202" i="6" s="1"/>
  <c r="G155" i="6"/>
  <c r="F155" i="6" s="1"/>
  <c r="F16" i="6"/>
  <c r="G150" i="6"/>
  <c r="F150" i="6" s="1"/>
  <c r="G171" i="6"/>
  <c r="F171" i="6" s="1"/>
  <c r="G98" i="6"/>
  <c r="F98" i="6" s="1"/>
  <c r="G26" i="6"/>
  <c r="F26" i="6" s="1"/>
  <c r="G47" i="6"/>
  <c r="F47" i="6" s="1"/>
  <c r="G184" i="6"/>
  <c r="F184" i="6" s="1"/>
  <c r="G41" i="6"/>
  <c r="F41" i="6" s="1"/>
  <c r="G160" i="6"/>
  <c r="F160" i="6" s="1"/>
  <c r="G182" i="6"/>
  <c r="F182" i="6" s="1"/>
  <c r="R5" i="6" l="1"/>
  <c r="R3" i="6"/>
  <c r="P3" i="6"/>
  <c r="R4" i="6"/>
  <c r="P5" i="6"/>
  <c r="P4" i="6"/>
  <c r="Q3" i="6" l="1"/>
  <c r="S3" i="6" s="1"/>
  <c r="Q5" i="6"/>
  <c r="S5" i="6" s="1"/>
  <c r="Q4" i="6"/>
  <c r="S4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C2" authorId="0" shapeId="0" xr:uid="{388C9893-AEC2-4C4D-9973-D7696A8BDDE6}">
      <text>
        <r>
          <rPr>
            <sz val="9"/>
            <color indexed="81"/>
            <rFont val="Tahoma"/>
            <family val="2"/>
          </rPr>
          <t>Version of this file</t>
        </r>
      </text>
    </comment>
  </commentList>
</comments>
</file>

<file path=xl/sharedStrings.xml><?xml version="1.0" encoding="utf-8"?>
<sst xmlns="http://schemas.openxmlformats.org/spreadsheetml/2006/main" count="1338" uniqueCount="786">
  <si>
    <t>rule</t>
  </si>
  <si>
    <t>Do not confuse narrow and wide character strings and functions</t>
  </si>
  <si>
    <t>STR38-C</t>
  </si>
  <si>
    <t>Arguments to character-handling functions must be representable as an unsigned char</t>
  </si>
  <si>
    <t>STR37-C</t>
  </si>
  <si>
    <t>Do not pass a non-null-terminated character sequence to a library function that expects a string</t>
  </si>
  <si>
    <t>STR32-C</t>
  </si>
  <si>
    <t>Guarantee that storage for strings has sufficient space for character data and the null terminator</t>
  </si>
  <si>
    <t>STR31-C</t>
  </si>
  <si>
    <t>Do not attempt to modify string literals</t>
  </si>
  <si>
    <t>STR30-C</t>
  </si>
  <si>
    <t>Do not return from a computational exception signal handler</t>
  </si>
  <si>
    <t>SIG35-C</t>
  </si>
  <si>
    <t>Call only asynchronous-safe functions within signal handlers</t>
  </si>
  <si>
    <t>SIG30-C</t>
  </si>
  <si>
    <t>Do not use preprocessor directives in invocations of function-like macros</t>
  </si>
  <si>
    <t>PRE32-C</t>
  </si>
  <si>
    <t>Avoid side effects in arguments to unsafe macros</t>
  </si>
  <si>
    <t>PRE31-C</t>
  </si>
  <si>
    <t>Do not create a universal character name through concatenation</t>
  </si>
  <si>
    <t>PRE30-C</t>
  </si>
  <si>
    <t>Detect and handle POSIX library errors</t>
  </si>
  <si>
    <t>POS54-C</t>
  </si>
  <si>
    <t>Do not unlock or destroy another POSIX thread's mutex</t>
  </si>
  <si>
    <t>POS48-C</t>
  </si>
  <si>
    <t>Do not use signals to terminate threads</t>
  </si>
  <si>
    <t>POS44-C</t>
  </si>
  <si>
    <t>Use the correct byte ordering when transferring data between systems</t>
  </si>
  <si>
    <t>POS39-C</t>
  </si>
  <si>
    <t>Beware of race conditions when using fork and file descriptors</t>
  </si>
  <si>
    <t>POS38-C</t>
  </si>
  <si>
    <t>Do not call putenv() with a pointer to an automatic variable as the argument</t>
  </si>
  <si>
    <t>POS34-C</t>
  </si>
  <si>
    <t>Do not use vfork()</t>
  </si>
  <si>
    <t>POS33-C</t>
  </si>
  <si>
    <t>Use the readlink() function properly</t>
  </si>
  <si>
    <t>POS30-C</t>
  </si>
  <si>
    <t>Do not call va_arg() on a va_list that has an indeterminate value</t>
  </si>
  <si>
    <t>MSC39-C</t>
  </si>
  <si>
    <t>Do not treat a predefined identifier as an object if it might only be implemented as a macro</t>
  </si>
  <si>
    <t>MSC38-C</t>
  </si>
  <si>
    <t>Ensure that control never reaches the end of a non-void function</t>
  </si>
  <si>
    <t>MSC37-C</t>
  </si>
  <si>
    <t>Do not pass invalid data to the asctime() function</t>
  </si>
  <si>
    <t>MSC33-C</t>
  </si>
  <si>
    <t>Properly seed pseudorandom number generators</t>
  </si>
  <si>
    <t>MSC32-C</t>
  </si>
  <si>
    <t>Do not use the rand() function for generating pseudorandom numbers</t>
  </si>
  <si>
    <t>MSC30-C</t>
  </si>
  <si>
    <t>Do not modify the alignment of objects by calling realloc()</t>
  </si>
  <si>
    <t>MEM36-C</t>
  </si>
  <si>
    <t>Allocate sufficient memory for an object</t>
  </si>
  <si>
    <t>MEM35-C</t>
  </si>
  <si>
    <t>Only free memory allocated dynamically</t>
  </si>
  <si>
    <t>MEM34-C</t>
  </si>
  <si>
    <t>Allocate and copy structures containing a flexible array member dynamically</t>
  </si>
  <si>
    <t>MEM33-C</t>
  </si>
  <si>
    <t>Free dynamically allocated memory when no longer needed</t>
  </si>
  <si>
    <t>MEM31-C</t>
  </si>
  <si>
    <t>Do not access freed memory</t>
  </si>
  <si>
    <t>MEM30-C</t>
  </si>
  <si>
    <t>Converting a pointer to integer or integer to pointer</t>
  </si>
  <si>
    <t>INT36-C</t>
  </si>
  <si>
    <t>Use correct integer precisions</t>
  </si>
  <si>
    <t>INT35-C</t>
  </si>
  <si>
    <t>Do not shift an expression by a negative number of bits or by greater than or equal to the number of bits that exist in the operand</t>
  </si>
  <si>
    <t>INT34-C</t>
  </si>
  <si>
    <t>Ensure that division and remainder operations do not result in divide-by-zero errors</t>
  </si>
  <si>
    <t>INT33-C</t>
  </si>
  <si>
    <t>Ensure that operations on signed integers do not result in overflow</t>
  </si>
  <si>
    <t>INT32-C</t>
  </si>
  <si>
    <t>Ensure that integer conversions do not result in lost or misinterpreted data</t>
  </si>
  <si>
    <t>INT31-C</t>
  </si>
  <si>
    <t>Ensure that unsigned integer operations do not wrap</t>
  </si>
  <si>
    <t>INT30-C</t>
  </si>
  <si>
    <t>recommendation</t>
  </si>
  <si>
    <t>Understand integer conversion rules</t>
  </si>
  <si>
    <t>INT02-C</t>
  </si>
  <si>
    <t>Preserve precision when converting integral values to floating-point type</t>
  </si>
  <si>
    <t>FLP36-C</t>
  </si>
  <si>
    <t>Ensure that floating-point conversions are within range of the new type</t>
  </si>
  <si>
    <t>FLP34-C</t>
  </si>
  <si>
    <t>Do not use floating-point variables as loop counters</t>
  </si>
  <si>
    <t>FLP30-C</t>
  </si>
  <si>
    <t>Use valid format strings</t>
  </si>
  <si>
    <t>FIO47-C</t>
  </si>
  <si>
    <t>Close files when they are no longer needed</t>
  </si>
  <si>
    <t>FIO42-C</t>
  </si>
  <si>
    <t>Do not call getc(), putc(), getwc(), or putwc() with a stream argument that has side effects</t>
    <phoneticPr fontId="1" type="noConversion"/>
  </si>
  <si>
    <t>FIO41-C</t>
  </si>
  <si>
    <t>Reset strings on fgets() or fgetws() failure</t>
    <phoneticPr fontId="1" type="noConversion"/>
  </si>
  <si>
    <t>FIO40-C</t>
  </si>
  <si>
    <t>Do not alternately input and output from a stream without an intervening flush or positioning call</t>
  </si>
  <si>
    <t>FIO39-C</t>
  </si>
  <si>
    <t>Do not assume that fgets() or fgetws() returns a nonempty string when successful</t>
  </si>
  <si>
    <t>FIO37-C</t>
  </si>
  <si>
    <t>Distinguish between characters read from a file and EOF or WEOF</t>
  </si>
  <si>
    <t>FIO34-C</t>
  </si>
  <si>
    <t>Exclude user input from format strings</t>
  </si>
  <si>
    <t>FIO30-C</t>
  </si>
  <si>
    <t>Do not call va_arg with an argument of the incorrect type</t>
  </si>
  <si>
    <t>EXP47-C</t>
  </si>
  <si>
    <t>Do not use a bitwise operator with a Boolean-like operand</t>
  </si>
  <si>
    <t>EXP46-C</t>
  </si>
  <si>
    <t>Do not perform assignments in selection statements</t>
  </si>
  <si>
    <t>EXP45-C</t>
  </si>
  <si>
    <t>Do not rely on side effects in operands to sizeof, _Alignof, or _Generic</t>
    <phoneticPr fontId="1" type="noConversion"/>
  </si>
  <si>
    <t>EXP44-C</t>
  </si>
  <si>
    <t>Avoid undefined behavior when using restrict-qualified pointers</t>
  </si>
  <si>
    <t>EXP43-C</t>
  </si>
  <si>
    <t>Do not compare padding data</t>
  </si>
  <si>
    <t>EXP42-C</t>
  </si>
  <si>
    <t>Do not modify constant objects</t>
  </si>
  <si>
    <t>EXP40-C</t>
  </si>
  <si>
    <t>Do not access a variable through a pointer of an incompatible type</t>
  </si>
  <si>
    <t>EXP39-C</t>
  </si>
  <si>
    <t>Do not cast pointers into more strictly aligned pointer types</t>
  </si>
  <si>
    <t>EXP36-C</t>
  </si>
  <si>
    <t>Do not dereference null pointers</t>
  </si>
  <si>
    <t>EXP34-C</t>
  </si>
  <si>
    <t>Do not read uninitialized memory</t>
  </si>
  <si>
    <t>EXP33-C</t>
  </si>
  <si>
    <t>Do not depend on the order of evaluation for side effects</t>
  </si>
  <si>
    <t>EXP30-C</t>
  </si>
  <si>
    <t>Do not ignore values returned by functions</t>
  </si>
  <si>
    <t>EXP12-C</t>
  </si>
  <si>
    <t>Detect errors when converting a string to a number</t>
  </si>
  <si>
    <t>ERR34-C</t>
  </si>
  <si>
    <t>Detect and handle standard library errors</t>
  </si>
  <si>
    <t>ERR33-C</t>
  </si>
  <si>
    <t>Set errno to zero before calling a library function known to set errno, and check errno only after the function returns a value indicating failure</t>
    <phoneticPr fontId="1" type="noConversion"/>
  </si>
  <si>
    <t>ERR30-C</t>
  </si>
  <si>
    <t>Do not call system()</t>
  </si>
  <si>
    <t>ENV33-C</t>
  </si>
  <si>
    <t>All exit handlers must return normally</t>
  </si>
  <si>
    <t>ENV32-C</t>
  </si>
  <si>
    <t>Do not rely on an environment pointer following an operation that may invalidate it</t>
  </si>
  <si>
    <t>ENV31-C</t>
  </si>
  <si>
    <t>Do not modify the object referenced by the return value of certain functions</t>
  </si>
  <si>
    <t>ENV30-C</t>
  </si>
  <si>
    <t>Do not declare variables inside a switch statement before the first case label</t>
  </si>
  <si>
    <t>DCL41-C</t>
  </si>
  <si>
    <t>Do not create incompatible declarations of the same function or object</t>
  </si>
  <si>
    <t>DCL40-C</t>
  </si>
  <si>
    <t>Avoid information leakage in structure padding</t>
  </si>
  <si>
    <t>DCL39-C</t>
  </si>
  <si>
    <t>Use the correct syntax when declaring a flexible array member</t>
  </si>
  <si>
    <t>DCL38-C</t>
  </si>
  <si>
    <t>Do not declare or define a reserved identifier</t>
  </si>
  <si>
    <t>DCL37-C</t>
  </si>
  <si>
    <t>Do not declare an identifier with conflicting linkage classifications</t>
  </si>
  <si>
    <t>DCL36-C</t>
  </si>
  <si>
    <t>Declare objects with appropriate storage durations</t>
  </si>
  <si>
    <t>DCL30-C</t>
  </si>
  <si>
    <t>Do not refer to an atomic variable twice in an expression</t>
  </si>
  <si>
    <t>CON40-C</t>
  </si>
  <si>
    <t>Do not join or detach a thread that was previously joined or detached</t>
  </si>
  <si>
    <t>CON39-C</t>
  </si>
  <si>
    <t>Do not call signal() in a multithreaded program</t>
  </si>
  <si>
    <t>CON37-C</t>
  </si>
  <si>
    <t>Wrap functions that can spuriously wake up in a loop</t>
  </si>
  <si>
    <t>CON36-C</t>
  </si>
  <si>
    <t>Avoid deadlock by locking in a predefined order</t>
  </si>
  <si>
    <t>CON35-C</t>
  </si>
  <si>
    <t>Avoid race conditions when using library functions</t>
  </si>
  <si>
    <t>CON33-C</t>
  </si>
  <si>
    <t>Prevent data races when accessing bit-fields from multiple threads</t>
  </si>
  <si>
    <t>CON32-C</t>
  </si>
  <si>
    <t>Do not destroy a mutex while it is locked</t>
  </si>
  <si>
    <t>CON31-C</t>
  </si>
  <si>
    <t>Clean up thread-specific storage</t>
  </si>
  <si>
    <t>CON30-C</t>
  </si>
  <si>
    <t>Do not add or subtract a scaled integer to a pointer</t>
  </si>
  <si>
    <t>ARR39-C</t>
  </si>
  <si>
    <t>Guarantee that library functions do not form invalid pointers</t>
  </si>
  <si>
    <t>ARR38-C</t>
  </si>
  <si>
    <t>Do not add or subtract an integer to a pointer to a non-array object</t>
  </si>
  <si>
    <t>ARR37-C</t>
  </si>
  <si>
    <t>Do not subtract or compare two pointers that do not refer to the same array</t>
  </si>
  <si>
    <t>ARR36-C</t>
  </si>
  <si>
    <t>Ensure size arguments for variable length arrays are in a valid range</t>
  </si>
  <si>
    <t>ARR32-C</t>
  </si>
  <si>
    <t>Do not form or use out-of-bounds pointers or array subscripts</t>
  </si>
  <si>
    <t>Total</t>
    <phoneticPr fontId="1" type="noConversion"/>
  </si>
  <si>
    <t>Mode</t>
    <phoneticPr fontId="1" type="noConversion"/>
  </si>
  <si>
    <t>Description</t>
    <phoneticPr fontId="1" type="noConversion"/>
  </si>
  <si>
    <t>Guideline</t>
    <phoneticPr fontId="1" type="noConversion"/>
  </si>
  <si>
    <t>Use of tainted pointer</t>
  </si>
  <si>
    <t>Tainted data</t>
  </si>
  <si>
    <t>Tainted NULL or non-null-terminated string</t>
  </si>
  <si>
    <t>Pointer dereference with tainted offset</t>
  </si>
  <si>
    <t>Umask used with chmod-style arguments</t>
  </si>
  <si>
    <t>Security</t>
  </si>
  <si>
    <t>Missing case for switch condition</t>
  </si>
  <si>
    <t>Unsafe conversion from string to numerical value</t>
  </si>
  <si>
    <t>Programming</t>
  </si>
  <si>
    <t>Format string specifiers and arguments mismatch</t>
  </si>
  <si>
    <t>Call to memset family with unintended value</t>
  </si>
  <si>
    <t>Accessing object with temporary lifetime</t>
  </si>
  <si>
    <t>Unsigned integer overflow</t>
  </si>
  <si>
    <t>Numerical</t>
  </si>
  <si>
    <t>Unsigned integer conversion overflow</t>
  </si>
  <si>
    <t>Missing reset of freed pointer</t>
  </si>
  <si>
    <t>Good practice</t>
  </si>
  <si>
    <t>Missing break of switch case</t>
  </si>
  <si>
    <t>Unprotected dynamic memory allocation</t>
  </si>
  <si>
    <t>Dynamic memory</t>
  </si>
  <si>
    <t>Static uncalled function</t>
  </si>
  <si>
    <t>Data flow</t>
  </si>
  <si>
    <t>Dead code</t>
  </si>
  <si>
    <t>Tainted size of variable length array</t>
  </si>
  <si>
    <t>Tainted sign change conversion</t>
  </si>
  <si>
    <t>Memory allocation with tainted size</t>
  </si>
  <si>
    <t>Loop bounded with tainted value</t>
  </si>
  <si>
    <t>Array access with tainted index</t>
  </si>
  <si>
    <t>Unreliable cast of pointer</t>
  </si>
  <si>
    <t>Static memory</t>
  </si>
  <si>
    <t>Vulnerable permission assignments</t>
  </si>
  <si>
    <t>Unsafe standard function</t>
  </si>
  <si>
    <t>Unsafe standard encryption function</t>
  </si>
  <si>
    <t>Uncleared sensitive data in stack</t>
  </si>
  <si>
    <t>Sensitive heap memory not cleared before release</t>
  </si>
  <si>
    <t>Predictable random output from predictable seed</t>
  </si>
  <si>
    <t>Mismatch between data length and size</t>
  </si>
  <si>
    <t>File manipulation after chroot() without chdir("/")</t>
  </si>
  <si>
    <t>File descriptor exposure to child process</t>
  </si>
  <si>
    <t>Errno not checked</t>
  </si>
  <si>
    <t>Deterministic random output from constant seed</t>
  </si>
  <si>
    <t>Opening previously opened resource</t>
  </si>
  <si>
    <t>Resource management</t>
  </si>
  <si>
    <t>Too many va_arg calls for current argument list</t>
  </si>
  <si>
    <t>Standard function call with incorrect arguments</t>
  </si>
  <si>
    <t>Shared data access within signal handler</t>
  </si>
  <si>
    <t>Invalid use of = operator</t>
  </si>
  <si>
    <t>Incorrect data type passed to va_arg</t>
  </si>
  <si>
    <t>Function called from signal handler not asynchronous-safe (strict ISO C)</t>
    <phoneticPr fontId="1" type="noConversion"/>
  </si>
  <si>
    <t>Function called from signal handler not asynchronous-safe</t>
  </si>
  <si>
    <t>Environment pointer invalidated by previous operation</t>
  </si>
  <si>
    <t>Copy of overlapping memory</t>
  </si>
  <si>
    <t>Bad file access mode or status</t>
  </si>
  <si>
    <t>Unreachable code</t>
  </si>
  <si>
    <t>Weak padding for RSA algorithm</t>
  </si>
  <si>
    <t>Cryptography</t>
  </si>
  <si>
    <t>Weak cipher mode</t>
  </si>
  <si>
    <t>Weak cipher algorithm</t>
  </si>
  <si>
    <t>Predictable cipher key</t>
  </si>
  <si>
    <t>Nonsecure parameters for key generation</t>
  </si>
  <si>
    <t>Nonsecure hash algorithm</t>
  </si>
  <si>
    <t>Nonsecure SSL/TLS protocol</t>
  </si>
  <si>
    <t>Nonsecure RSA public exponent</t>
  </si>
  <si>
    <t>Missing public key</t>
  </si>
  <si>
    <t>Missing private key</t>
  </si>
  <si>
    <t>Missing peer key</t>
  </si>
  <si>
    <t>Missing padding for RSA algorithm</t>
  </si>
  <si>
    <t>Missing cipher key</t>
  </si>
  <si>
    <t>Missing cipher final step</t>
  </si>
  <si>
    <t>Missing cipher data to process</t>
  </si>
  <si>
    <t>Missing block cipher initialization vector</t>
  </si>
  <si>
    <t>Missing blinding for RSA algorithm</t>
  </si>
  <si>
    <t>Context initialized incorrectly for digest operation</t>
  </si>
  <si>
    <t>Constant cipher key</t>
  </si>
  <si>
    <t>Constant block cipher initialization vector</t>
  </si>
  <si>
    <t>Data race including atomic operations</t>
  </si>
  <si>
    <t>Concurrency</t>
  </si>
  <si>
    <t>Use of path manipulation function without maximum-sized buffer checking</t>
  </si>
  <si>
    <t>Use of automatic variable as putenv-family function argument</t>
  </si>
  <si>
    <t>Pointer or reference to stack variable leaving scope</t>
  </si>
  <si>
    <t>Pointer access out of bounds</t>
  </si>
  <si>
    <t>Destination buffer underflow in string manipulation</t>
  </si>
  <si>
    <t>Destination buffer overflow in string manipulation</t>
  </si>
  <si>
    <t>Buffer overflow from incorrect string format specifier</t>
  </si>
  <si>
    <t>Array access out of bounds</t>
  </si>
  <si>
    <t>Use of non-secure temporary file</t>
  </si>
  <si>
    <t>Returned value of a sensitive function not checked</t>
  </si>
  <si>
    <t>Writing to const qualified object</t>
  </si>
  <si>
    <t>Variable length array with non-positive size</t>
  </si>
  <si>
    <t>Possibly unintended evaluation of expression because of operator precedence rules</t>
  </si>
  <si>
    <t>Misuse of narrow or wide character string</t>
  </si>
  <si>
    <t>Invalid use of == operator</t>
  </si>
  <si>
    <t>Errno not reset</t>
  </si>
  <si>
    <t>Declaration mismatch</t>
  </si>
  <si>
    <t>Use of previously freed pointer</t>
  </si>
  <si>
    <t>Deallocation of previously deallocated pointer</t>
  </si>
  <si>
    <t>Non-initialized pointer</t>
  </si>
  <si>
    <t>Data race through standard library function call</t>
  </si>
  <si>
    <t>Defect</t>
    <phoneticPr fontId="1" type="noConversion"/>
  </si>
  <si>
    <t>Category</t>
    <phoneticPr fontId="1" type="noConversion"/>
  </si>
  <si>
    <t>Pass Condition</t>
    <phoneticPr fontId="1" type="noConversion"/>
  </si>
  <si>
    <t>Unreachable code</t>
    <phoneticPr fontId="1" type="noConversion"/>
  </si>
  <si>
    <t>DEFECT</t>
    <phoneticPr fontId="1" type="noConversion"/>
  </si>
  <si>
    <t>Static uncalled function</t>
    <phoneticPr fontId="1" type="noConversion"/>
  </si>
  <si>
    <t>Dead code</t>
    <phoneticPr fontId="1" type="noConversion"/>
  </si>
  <si>
    <t>중</t>
    <phoneticPr fontId="1" type="noConversion"/>
  </si>
  <si>
    <t>죽은 코드 제거 필요</t>
    <phoneticPr fontId="1" type="noConversion"/>
  </si>
  <si>
    <t>C-POS-012</t>
    <phoneticPr fontId="1" type="noConversion"/>
  </si>
  <si>
    <t>문장 구역의 명확한 처리 필요</t>
    <phoneticPr fontId="1" type="noConversion"/>
  </si>
  <si>
    <t>C-POS-011</t>
    <phoneticPr fontId="1" type="noConversion"/>
  </si>
  <si>
    <t>상</t>
    <phoneticPr fontId="1" type="noConversion"/>
  </si>
  <si>
    <t>디버그 코드를 비롯한 개발자 모드를 남기지 않도록 주의</t>
    <phoneticPr fontId="1" type="noConversion"/>
  </si>
  <si>
    <t>C-POS-010</t>
    <phoneticPr fontId="1" type="noConversion"/>
  </si>
  <si>
    <t>Opening previously opened resource</t>
    <phoneticPr fontId="1" type="noConversion"/>
  </si>
  <si>
    <t>Function called from signal handler not asynchronous-safe</t>
    <phoneticPr fontId="1" type="noConversion"/>
  </si>
  <si>
    <t>Shared data access within signal handler</t>
    <phoneticPr fontId="1" type="noConversion"/>
  </si>
  <si>
    <t>Data race through standard library function call</t>
    <phoneticPr fontId="1" type="noConversion"/>
  </si>
  <si>
    <t>Data race including atomic operations</t>
    <phoneticPr fontId="1" type="noConversion"/>
  </si>
  <si>
    <t>Data race</t>
    <phoneticPr fontId="1" type="noConversion"/>
  </si>
  <si>
    <t>자원을 부적절하게 잠그지 않도록 주의</t>
    <phoneticPr fontId="1" type="noConversion"/>
  </si>
  <si>
    <t>C-POS-009</t>
    <phoneticPr fontId="1" type="noConversion"/>
  </si>
  <si>
    <t>POS54-C</t>
    <phoneticPr fontId="1" type="noConversion"/>
  </si>
  <si>
    <t>CERT_C</t>
    <phoneticPr fontId="1" type="noConversion"/>
  </si>
  <si>
    <t>POSIX 라이브러리 함수 사용 시 오류 탐지 및 예외 처리 수행 필요</t>
    <phoneticPr fontId="1" type="noConversion"/>
  </si>
  <si>
    <t>C-POS-008</t>
    <phoneticPr fontId="1" type="noConversion"/>
  </si>
  <si>
    <t>POS48-C</t>
    <phoneticPr fontId="1" type="noConversion"/>
  </si>
  <si>
    <t>다른 POSIX 스레드가 만든 뮤텍스의 잠금 해제 금지</t>
    <phoneticPr fontId="1" type="noConversion"/>
  </si>
  <si>
    <t>C-POS-007</t>
    <phoneticPr fontId="1" type="noConversion"/>
  </si>
  <si>
    <t>POS44-C</t>
    <phoneticPr fontId="1" type="noConversion"/>
  </si>
  <si>
    <t>하</t>
    <phoneticPr fontId="1" type="noConversion"/>
  </si>
  <si>
    <t>신호를 사용하여 스레드 종료 금지</t>
    <phoneticPr fontId="1" type="noConversion"/>
  </si>
  <si>
    <t>C-POS-006</t>
    <phoneticPr fontId="1" type="noConversion"/>
  </si>
  <si>
    <t>POS39-C</t>
    <phoneticPr fontId="1" type="noConversion"/>
  </si>
  <si>
    <t>시스템 간 데이터 통신 시 올바른 바이트 순서 사용 필요</t>
    <phoneticPr fontId="1" type="noConversion"/>
  </si>
  <si>
    <t>C-POS-005</t>
    <phoneticPr fontId="1" type="noConversion"/>
  </si>
  <si>
    <t>POS38-C</t>
    <phoneticPr fontId="1" type="noConversion"/>
  </si>
  <si>
    <t>fork와 파일 디스크립터 사용 시 경쟁 상태 주의</t>
    <phoneticPr fontId="1" type="noConversion"/>
  </si>
  <si>
    <t>C-POS-004</t>
    <phoneticPr fontId="1" type="noConversion"/>
  </si>
  <si>
    <t>POS34-C</t>
    <phoneticPr fontId="1" type="noConversion"/>
  </si>
  <si>
    <t>putenv() 함수에 지역변수를 가리키는 포인터 전달 금지</t>
    <phoneticPr fontId="1" type="noConversion"/>
  </si>
  <si>
    <t>C-POS-003</t>
    <phoneticPr fontId="1" type="noConversion"/>
  </si>
  <si>
    <t>POS33-C</t>
    <phoneticPr fontId="1" type="noConversion"/>
  </si>
  <si>
    <t>vfork() 사용 금지</t>
    <phoneticPr fontId="1" type="noConversion"/>
  </si>
  <si>
    <t>C-POS-002</t>
    <phoneticPr fontId="1" type="noConversion"/>
  </si>
  <si>
    <t>POS30-C</t>
    <phoneticPr fontId="1" type="noConversion"/>
  </si>
  <si>
    <t>readlink() 함수의 올바른 사용 필요</t>
    <phoneticPr fontId="1" type="noConversion"/>
  </si>
  <si>
    <t>C-POS-001</t>
    <phoneticPr fontId="1" type="noConversion"/>
  </si>
  <si>
    <t>POSIX</t>
    <phoneticPr fontId="1" type="noConversion"/>
  </si>
  <si>
    <t>Use of non-secure temporary file</t>
    <phoneticPr fontId="1" type="noConversion"/>
  </si>
  <si>
    <t>Vulnerable permission assignments</t>
    <phoneticPr fontId="1" type="noConversion"/>
  </si>
  <si>
    <t>File manipulation after chroot() without chdir("/")</t>
    <phoneticPr fontId="1" type="noConversion"/>
  </si>
  <si>
    <t>Umask used with chmod-style arguments</t>
    <phoneticPr fontId="1" type="noConversion"/>
  </si>
  <si>
    <t>키 값 등의 주요 보안 정보는 안전한 메모리 공간에 저장 필요</t>
    <phoneticPr fontId="1" type="noConversion"/>
  </si>
  <si>
    <t>C-MSC-018</t>
    <phoneticPr fontId="1" type="noConversion"/>
  </si>
  <si>
    <t>Nonsecure hash algorithm</t>
    <phoneticPr fontId="1" type="noConversion"/>
  </si>
  <si>
    <t>Constant cipher key</t>
    <phoneticPr fontId="1" type="noConversion"/>
  </si>
  <si>
    <t>Nonsecure RSA public exponent</t>
    <phoneticPr fontId="1" type="noConversion"/>
  </si>
  <si>
    <t>Nonsecure parameters for key generation</t>
    <phoneticPr fontId="1" type="noConversion"/>
  </si>
  <si>
    <t>Nonsecure SSL/TLS protocol</t>
    <phoneticPr fontId="1" type="noConversion"/>
  </si>
  <si>
    <t>Unsafe standard encryption function</t>
    <phoneticPr fontId="1" type="noConversion"/>
  </si>
  <si>
    <t>송신자가 비대칭키 알고리즘을 사용하여 메시지를 전송했을 시 해당 공개키의 인증서와 서명 값을 반드시 검증 필요</t>
    <phoneticPr fontId="1" type="noConversion"/>
  </si>
  <si>
    <t>C-MSC-017</t>
    <phoneticPr fontId="1" type="noConversion"/>
  </si>
  <si>
    <t>Context initialized incorrectly for digest operation</t>
    <phoneticPr fontId="1" type="noConversion"/>
  </si>
  <si>
    <t>무결성 보장을 위한 MAC 생성 시 재사용 공격을 방지하는 메시지 식별값이 반드시 포함되도록 처리 필요</t>
    <phoneticPr fontId="1" type="noConversion"/>
  </si>
  <si>
    <t>C-MSC-016</t>
    <phoneticPr fontId="1" type="noConversion"/>
  </si>
  <si>
    <t>Predictable random output from predictable seed</t>
    <phoneticPr fontId="1" type="noConversion"/>
  </si>
  <si>
    <t>Deterministic random output from constant seed</t>
    <phoneticPr fontId="1" type="noConversion"/>
  </si>
  <si>
    <t>고정된 시드나 예측 가능한 시드 사용 금지</t>
    <phoneticPr fontId="1" type="noConversion"/>
  </si>
  <si>
    <t>C-MSC-015</t>
    <phoneticPr fontId="1" type="noConversion"/>
  </si>
  <si>
    <t>Weak padding for RSA algorithm</t>
    <phoneticPr fontId="1" type="noConversion"/>
  </si>
  <si>
    <t>Missing padding for RSA algorithm</t>
    <phoneticPr fontId="1" type="noConversion"/>
  </si>
  <si>
    <t>Weak cipher mode</t>
    <phoneticPr fontId="1" type="noConversion"/>
  </si>
  <si>
    <t>Weak cipher algorithm</t>
    <phoneticPr fontId="1" type="noConversion"/>
  </si>
  <si>
    <t>DES 대칭키 알고리즘, MD5 해시 알고리즘과 같은 보안 취약점이 발견된 알고리즘 사용 금지</t>
    <phoneticPr fontId="1" type="noConversion"/>
  </si>
  <si>
    <t>C-MSC-014</t>
    <phoneticPr fontId="1" type="noConversion"/>
  </si>
  <si>
    <t>Missing blinding for RSA algorithm</t>
    <phoneticPr fontId="1" type="noConversion"/>
  </si>
  <si>
    <t>Predictable cipher key</t>
    <phoneticPr fontId="1" type="noConversion"/>
  </si>
  <si>
    <t>Missing block cipher initialization vector</t>
    <phoneticPr fontId="1" type="noConversion"/>
  </si>
  <si>
    <t>Constant block cipher initialization vector</t>
    <phoneticPr fontId="1" type="noConversion"/>
  </si>
  <si>
    <t>암호 알고리즘이나 해쉬 함수를 사용할 때 일정 수준의 보안 강도 이상 만족 필요</t>
    <phoneticPr fontId="1" type="noConversion"/>
  </si>
  <si>
    <t>C-MSC-013</t>
    <phoneticPr fontId="1" type="noConversion"/>
  </si>
  <si>
    <t>Missing private key</t>
    <phoneticPr fontId="1" type="noConversion"/>
  </si>
  <si>
    <t>Missing peer key</t>
    <phoneticPr fontId="1" type="noConversion"/>
  </si>
  <si>
    <t>Missing public key</t>
    <phoneticPr fontId="1" type="noConversion"/>
  </si>
  <si>
    <t>Missing cipher key</t>
    <phoneticPr fontId="1" type="noConversion"/>
  </si>
  <si>
    <t>비밀키는 주기적으로 교체되어야 하며, 업데이트된 키는 반드시 비밀성을 보장</t>
    <phoneticPr fontId="1" type="noConversion"/>
  </si>
  <si>
    <t>C-MSC-012</t>
    <phoneticPr fontId="1" type="noConversion"/>
  </si>
  <si>
    <t>Sensitive heap memory not cleared before release</t>
    <phoneticPr fontId="1" type="noConversion"/>
  </si>
  <si>
    <t>Uncleared sensitive data in stack</t>
    <phoneticPr fontId="1" type="noConversion"/>
  </si>
  <si>
    <t>Missing cipher final step</t>
    <phoneticPr fontId="1" type="noConversion"/>
  </si>
  <si>
    <t>Missing cipher data to process</t>
    <phoneticPr fontId="1" type="noConversion"/>
  </si>
  <si>
    <t>주요 보안 정보 및 차량 정보는 평문의 형태로 제어기 외부에 전송 및 보관 금지</t>
    <phoneticPr fontId="1" type="noConversion"/>
  </si>
  <si>
    <t>C-MSC-011</t>
    <phoneticPr fontId="1" type="noConversion"/>
  </si>
  <si>
    <t>Unsafe standard function</t>
    <phoneticPr fontId="1" type="noConversion"/>
  </si>
  <si>
    <t>멀티스레드 어플리케이션에서 getloin 사용 금지</t>
    <phoneticPr fontId="1" type="noConversion"/>
  </si>
  <si>
    <t>C-MSC-010</t>
    <phoneticPr fontId="1" type="noConversion"/>
  </si>
  <si>
    <t>컴파일러의 버퍼를 지우는 코드 제거 오류</t>
    <phoneticPr fontId="1" type="noConversion"/>
  </si>
  <si>
    <t>C-MSC-009</t>
    <phoneticPr fontId="1" type="noConversion"/>
  </si>
  <si>
    <t>MSC39-C</t>
    <phoneticPr fontId="1" type="noConversion"/>
  </si>
  <si>
    <t>정해지지 않은 값을 가진 va_list에 va_arg() 호출 금지</t>
    <phoneticPr fontId="1" type="noConversion"/>
  </si>
  <si>
    <t>C-MSC-008</t>
    <phoneticPr fontId="1" type="noConversion"/>
  </si>
  <si>
    <t>MSC38-C</t>
    <phoneticPr fontId="1" type="noConversion"/>
  </si>
  <si>
    <t>사전 정의된 식별자가 매크로식으로만 정의된 경우 해당 식별자를 객체처럼 접근 금지</t>
    <phoneticPr fontId="1" type="noConversion"/>
  </si>
  <si>
    <t>C-MSC-007</t>
    <phoneticPr fontId="1" type="noConversion"/>
  </si>
  <si>
    <t>MSC37-C</t>
    <phoneticPr fontId="1" type="noConversion"/>
  </si>
  <si>
    <t>void 반환 타입 이외의 함수들 모두 반환 필요</t>
    <phoneticPr fontId="1" type="noConversion"/>
  </si>
  <si>
    <t>C-MSC-006</t>
    <phoneticPr fontId="1" type="noConversion"/>
  </si>
  <si>
    <t>MSC33-C</t>
    <phoneticPr fontId="1" type="noConversion"/>
  </si>
  <si>
    <t>asctime() 함수 사용 시 부적절한 인자 전달 주의</t>
    <phoneticPr fontId="1" type="noConversion"/>
  </si>
  <si>
    <t>C-MSC-005</t>
    <phoneticPr fontId="1" type="noConversion"/>
  </si>
  <si>
    <t>MSC32-C</t>
    <phoneticPr fontId="1" type="noConversion"/>
  </si>
  <si>
    <t>PRNG 사용 시 seed를 올바르게 설정 필요</t>
    <phoneticPr fontId="1" type="noConversion"/>
  </si>
  <si>
    <t>C-MSC-004</t>
    <phoneticPr fontId="1" type="noConversion"/>
  </si>
  <si>
    <t>MSC30-C</t>
    <phoneticPr fontId="1" type="noConversion"/>
  </si>
  <si>
    <t>PRNG 방식으로 난수 생성 시 rand() 함수 사용 금지</t>
    <phoneticPr fontId="1" type="noConversion"/>
  </si>
  <si>
    <t>C-MSC-003</t>
    <phoneticPr fontId="1" type="noConversion"/>
  </si>
  <si>
    <t>MAC을 사용할 경우 가급적 최소 8-Byte 이상을 사용 필요</t>
    <phoneticPr fontId="1" type="noConversion"/>
  </si>
  <si>
    <t>C-MSC-002</t>
    <phoneticPr fontId="1" type="noConversion"/>
  </si>
  <si>
    <t>비대칭키 RSA 사용 시 공개키 지수는 가급적 216+1, 즉 65537로 처리 필요</t>
    <phoneticPr fontId="1" type="noConversion"/>
  </si>
  <si>
    <t>C-MSC-001</t>
    <phoneticPr fontId="1" type="noConversion"/>
  </si>
  <si>
    <t>보안 기능</t>
    <phoneticPr fontId="1" type="noConversion"/>
  </si>
  <si>
    <t>CON40-C</t>
    <phoneticPr fontId="1" type="noConversion"/>
  </si>
  <si>
    <t>표현식에서 atomic 변수 두 번 이상 참조 금지</t>
    <phoneticPr fontId="1" type="noConversion"/>
  </si>
  <si>
    <t>C-CON-011</t>
    <phoneticPr fontId="1" type="noConversion"/>
  </si>
  <si>
    <t>CON39-C</t>
    <phoneticPr fontId="1" type="noConversion"/>
  </si>
  <si>
    <t>이전에 결합 또는 분리된 스레드를 재결합이나 분리 금지</t>
    <phoneticPr fontId="1" type="noConversion"/>
  </si>
  <si>
    <t>C-CON-010</t>
    <phoneticPr fontId="1" type="noConversion"/>
  </si>
  <si>
    <t>조건 변수 사용 시 스레드의 안전성과 생존성 보호 필요</t>
    <phoneticPr fontId="1" type="noConversion"/>
  </si>
  <si>
    <t>C-CON-009</t>
    <phoneticPr fontId="1" type="noConversion"/>
  </si>
  <si>
    <t>CON37-C</t>
    <phoneticPr fontId="1" type="noConversion"/>
  </si>
  <si>
    <t>멀티스레드 프로그램에서 signal() 함수 호출 금지</t>
    <phoneticPr fontId="1" type="noConversion"/>
  </si>
  <si>
    <t>C-CON-008</t>
    <phoneticPr fontId="1" type="noConversion"/>
  </si>
  <si>
    <t>CON36-C</t>
    <phoneticPr fontId="1" type="noConversion"/>
  </si>
  <si>
    <t>반복문 내에서 거짓으로 깨어날 수 있는 함수의 래핑 필요</t>
    <phoneticPr fontId="1" type="noConversion"/>
  </si>
  <si>
    <t>C-CON-007</t>
    <phoneticPr fontId="1" type="noConversion"/>
  </si>
  <si>
    <t>CON35-C</t>
    <phoneticPr fontId="1" type="noConversion"/>
  </si>
  <si>
    <t>교착 상태를 피하기 위해 정해진 순서에 따른 잠금 필요</t>
    <phoneticPr fontId="1" type="noConversion"/>
  </si>
  <si>
    <t>C-CON-006</t>
    <phoneticPr fontId="1" type="noConversion"/>
  </si>
  <si>
    <t>스레드들 사이에 공유하는 객체 선언 필요</t>
    <phoneticPr fontId="1" type="noConversion"/>
  </si>
  <si>
    <t>C-CON-005</t>
    <phoneticPr fontId="1" type="noConversion"/>
  </si>
  <si>
    <t>CON33-C</t>
    <phoneticPr fontId="1" type="noConversion"/>
  </si>
  <si>
    <t>라이브러리 함수를 사용할 때 경쟁 상태 방지 필요</t>
    <phoneticPr fontId="1" type="noConversion"/>
  </si>
  <si>
    <t>C-CON-004</t>
    <phoneticPr fontId="1" type="noConversion"/>
  </si>
  <si>
    <t>CON32-C</t>
    <phoneticPr fontId="1" type="noConversion"/>
  </si>
  <si>
    <t>다중 스레드에서 비트 필드에 접근할 때 공유 자원의 경쟁 방지 필요</t>
    <phoneticPr fontId="1" type="noConversion"/>
  </si>
  <si>
    <t>C-CON-003</t>
    <phoneticPr fontId="1" type="noConversion"/>
  </si>
  <si>
    <t>CON31-C</t>
    <phoneticPr fontId="1" type="noConversion"/>
  </si>
  <si>
    <t>뮤텍스가 잠겨 있을 때 뮤텍스 소멸 금지</t>
    <phoneticPr fontId="1" type="noConversion"/>
  </si>
  <si>
    <t>C-CON-002</t>
    <phoneticPr fontId="1" type="noConversion"/>
  </si>
  <si>
    <t>CON30-C</t>
    <phoneticPr fontId="1" type="noConversion"/>
  </si>
  <si>
    <t>할당 후 스레드 저장소 정리 필요</t>
    <phoneticPr fontId="1" type="noConversion"/>
  </si>
  <si>
    <t>C-CON-001</t>
    <phoneticPr fontId="1" type="noConversion"/>
  </si>
  <si>
    <t>병렬 프로그래밍</t>
    <phoneticPr fontId="1" type="noConversion"/>
  </si>
  <si>
    <t>SIG35-C</t>
    <phoneticPr fontId="1" type="noConversion"/>
  </si>
  <si>
    <t>연산 예외 신호 처리기에서 반환 금지</t>
    <phoneticPr fontId="1" type="noConversion"/>
  </si>
  <si>
    <t>C-SIG-002</t>
    <phoneticPr fontId="1" type="noConversion"/>
  </si>
  <si>
    <t>SIG30-C</t>
    <phoneticPr fontId="1" type="noConversion"/>
  </si>
  <si>
    <t>신호 처리기에서 비동기적으로 안전한 함수만 호출 필요</t>
    <phoneticPr fontId="1" type="noConversion"/>
  </si>
  <si>
    <t>C-SIG-001</t>
    <phoneticPr fontId="1" type="noConversion"/>
  </si>
  <si>
    <t>신호</t>
    <phoneticPr fontId="1" type="noConversion"/>
  </si>
  <si>
    <t>ENV33-C</t>
    <phoneticPr fontId="1" type="noConversion"/>
  </si>
  <si>
    <t>system() 함수 호출 금지</t>
    <phoneticPr fontId="1" type="noConversion"/>
  </si>
  <si>
    <t>C-ENV-004</t>
    <phoneticPr fontId="1" type="noConversion"/>
  </si>
  <si>
    <t>ENV32-C</t>
    <phoneticPr fontId="1" type="noConversion"/>
  </si>
  <si>
    <t>모든 종료 처리기는 반드시 정상적으로 반환 필요</t>
    <phoneticPr fontId="1" type="noConversion"/>
  </si>
  <si>
    <t>C-ENV-003</t>
    <phoneticPr fontId="1" type="noConversion"/>
  </si>
  <si>
    <t>ENV31-C</t>
    <phoneticPr fontId="1" type="noConversion"/>
  </si>
  <si>
    <t>환경변수 포인터를 무효화시키는 연산이 포함된 함수가 호출된 후 환경변수 포인터 참조 금지</t>
    <phoneticPr fontId="1" type="noConversion"/>
  </si>
  <si>
    <t>C-ENV-002</t>
    <phoneticPr fontId="1" type="noConversion"/>
  </si>
  <si>
    <t>ENV30-C</t>
    <phoneticPr fontId="1" type="noConversion"/>
  </si>
  <si>
    <t>특정 함수의 반환값이 참조하는 객체 수정 금지</t>
    <phoneticPr fontId="1" type="noConversion"/>
  </si>
  <si>
    <t>C-ENV-001</t>
    <phoneticPr fontId="1" type="noConversion"/>
  </si>
  <si>
    <t>환경 변수</t>
    <phoneticPr fontId="1" type="noConversion"/>
  </si>
  <si>
    <t>File descriptor exposure to child process</t>
    <phoneticPr fontId="1" type="noConversion"/>
  </si>
  <si>
    <t>부적절한 동기화로 공유 자원을 사용하여 동시 실행(레이스 조건) 금지</t>
    <phoneticPr fontId="1" type="noConversion"/>
  </si>
  <si>
    <t>C-FIO-009</t>
    <phoneticPr fontId="1" type="noConversion"/>
  </si>
  <si>
    <t>FIO47-C</t>
    <phoneticPr fontId="1" type="noConversion"/>
  </si>
  <si>
    <t>유효한 포맷 문자열 사용 필요</t>
    <phoneticPr fontId="1" type="noConversion"/>
  </si>
  <si>
    <t>C-FIO-008</t>
    <phoneticPr fontId="1" type="noConversion"/>
  </si>
  <si>
    <t>FIO42-C</t>
    <phoneticPr fontId="1" type="noConversion"/>
  </si>
  <si>
    <t>사용이 불필요한 파일 닫기 필요</t>
    <phoneticPr fontId="1" type="noConversion"/>
  </si>
  <si>
    <t>C-FIO-007</t>
    <phoneticPr fontId="1" type="noConversion"/>
  </si>
  <si>
    <t>FIO41-C</t>
    <phoneticPr fontId="1" type="noConversion"/>
  </si>
  <si>
    <t>변수의 값을 변경하는 문자열 인수를 getc(), putc(), getwc() 혹은 putwc()에 호출 금지</t>
    <phoneticPr fontId="1" type="noConversion"/>
  </si>
  <si>
    <t>C-FIO-006</t>
    <phoneticPr fontId="1" type="noConversion"/>
  </si>
  <si>
    <t>FIO40-C</t>
    <phoneticPr fontId="1" type="noConversion"/>
  </si>
  <si>
    <t>fgets() 혹은 fgetws() 실패 시 문자열 리셋 필요</t>
    <phoneticPr fontId="1" type="noConversion"/>
  </si>
  <si>
    <t>C-FIO-005</t>
    <phoneticPr fontId="1" type="noConversion"/>
  </si>
  <si>
    <t>FIO39-C</t>
    <phoneticPr fontId="1" type="noConversion"/>
  </si>
  <si>
    <t>플러쉬 혹은 위치 지정 호출 개입 없이 스트림 교대로 입력 및 출력 금지</t>
    <phoneticPr fontId="1" type="noConversion"/>
  </si>
  <si>
    <t>C-FIO-004</t>
    <phoneticPr fontId="1" type="noConversion"/>
  </si>
  <si>
    <t>FIO37-C</t>
    <phoneticPr fontId="1" type="noConversion"/>
  </si>
  <si>
    <t>fgets() 혹은 fgetws()가 성공 시, 무조건 비어있지 않은 문자열을 반환할 것이라고 가정 금지</t>
    <phoneticPr fontId="1" type="noConversion"/>
  </si>
  <si>
    <t>C-FIO-003</t>
    <phoneticPr fontId="1" type="noConversion"/>
  </si>
  <si>
    <t>FIO34-C</t>
    <phoneticPr fontId="1" type="noConversion"/>
  </si>
  <si>
    <t>파일에서 읽는 문자와 파일 끝 문자(EOF 혹은 WEOF)를 구별 필요</t>
    <phoneticPr fontId="1" type="noConversion"/>
  </si>
  <si>
    <t>C-FIO-002</t>
    <phoneticPr fontId="1" type="noConversion"/>
  </si>
  <si>
    <t>FIO30-C</t>
    <phoneticPr fontId="1" type="noConversion"/>
  </si>
  <si>
    <t>포맷 문자열에서는 사용자의 입력을 배제</t>
    <phoneticPr fontId="1" type="noConversion"/>
  </si>
  <si>
    <t>C-FIO-001</t>
    <phoneticPr fontId="1" type="noConversion"/>
  </si>
  <si>
    <t>입력 및 출력</t>
    <phoneticPr fontId="1" type="noConversion"/>
  </si>
  <si>
    <t>릴리즈 이전 힙 메모리의 잘못된 삭제</t>
    <phoneticPr fontId="1" type="noConversion"/>
  </si>
  <si>
    <t>C-MEM-007</t>
    <phoneticPr fontId="1" type="noConversion"/>
  </si>
  <si>
    <t>MEM36-C</t>
    <phoneticPr fontId="1" type="noConversion"/>
  </si>
  <si>
    <t>realloc() 함수를 호출하여 객체의 정렬 수정 금지</t>
    <phoneticPr fontId="1" type="noConversion"/>
  </si>
  <si>
    <t>C-MEM-006</t>
    <phoneticPr fontId="1" type="noConversion"/>
  </si>
  <si>
    <t>MEM35-C</t>
    <phoneticPr fontId="1" type="noConversion"/>
  </si>
  <si>
    <t>객체에 충분한 메모리 할당 필요</t>
    <phoneticPr fontId="1" type="noConversion"/>
  </si>
  <si>
    <t>C-MEM-005</t>
    <phoneticPr fontId="1" type="noConversion"/>
  </si>
  <si>
    <t>MEM34-C</t>
    <phoneticPr fontId="1" type="noConversion"/>
  </si>
  <si>
    <t>동적으로 할당된 메모리 해제 필요</t>
    <phoneticPr fontId="1" type="noConversion"/>
  </si>
  <si>
    <t>C-MEM-004</t>
    <phoneticPr fontId="1" type="noConversion"/>
  </si>
  <si>
    <t>MEM33-C</t>
    <phoneticPr fontId="1" type="noConversion"/>
  </si>
  <si>
    <t>가변 배열 멤버를 포함하는 구조체는 동적으로 복사 및 할당 필요</t>
    <phoneticPr fontId="1" type="noConversion"/>
  </si>
  <si>
    <t>C-MEM-003</t>
    <phoneticPr fontId="1" type="noConversion"/>
  </si>
  <si>
    <t>MEM31-C</t>
    <phoneticPr fontId="1" type="noConversion"/>
  </si>
  <si>
    <t>더 이상 필요하지 않을 때 동적으로 할당된 메모리 해제 처리 필요</t>
    <phoneticPr fontId="1" type="noConversion"/>
  </si>
  <si>
    <t>C-MEM-002</t>
    <phoneticPr fontId="1" type="noConversion"/>
  </si>
  <si>
    <t>MEM30-C</t>
    <phoneticPr fontId="1" type="noConversion"/>
  </si>
  <si>
    <t>해제된 메모리 참조 금지</t>
    <phoneticPr fontId="1" type="noConversion"/>
  </si>
  <si>
    <t>C-MEM-001</t>
    <phoneticPr fontId="1" type="noConversion"/>
  </si>
  <si>
    <t>메모리 관리</t>
    <phoneticPr fontId="1" type="noConversion"/>
  </si>
  <si>
    <t>코드 품질</t>
    <phoneticPr fontId="1" type="noConversion"/>
  </si>
  <si>
    <t>ERR34-C</t>
    <phoneticPr fontId="1" type="noConversion"/>
  </si>
  <si>
    <t>문자열에서 숫자로 형변환 시 에러 감지 필요</t>
    <phoneticPr fontId="1" type="noConversion"/>
  </si>
  <si>
    <t>C-ERR-003</t>
    <phoneticPr fontId="1" type="noConversion"/>
  </si>
  <si>
    <t>ERR33-C</t>
    <phoneticPr fontId="1" type="noConversion"/>
  </si>
  <si>
    <t>표준 라이브러리 에러 탐지 및 처리 필요</t>
    <phoneticPr fontId="1" type="noConversion"/>
  </si>
  <si>
    <t>C-ERR-002</t>
    <phoneticPr fontId="1" type="noConversion"/>
  </si>
  <si>
    <t>ERR30-C</t>
    <phoneticPr fontId="1" type="noConversion"/>
  </si>
  <si>
    <t>errno과 관련한 라이브러리 함수 호출 시 주의 사항</t>
    <phoneticPr fontId="1" type="noConversion"/>
  </si>
  <si>
    <t>C-ERR-001</t>
    <phoneticPr fontId="1" type="noConversion"/>
  </si>
  <si>
    <t>에러처리</t>
    <phoneticPr fontId="1" type="noConversion"/>
  </si>
  <si>
    <t>Unsafe conversion from string to numerical value</t>
    <phoneticPr fontId="1" type="noConversion"/>
  </si>
  <si>
    <t>Unprotected dynamic memory allocation</t>
    <phoneticPr fontId="1" type="noConversion"/>
  </si>
  <si>
    <t>Errno not reset</t>
    <phoneticPr fontId="1" type="noConversion"/>
  </si>
  <si>
    <t>Errno not checked</t>
    <phoneticPr fontId="1" type="noConversion"/>
  </si>
  <si>
    <t>Returned value of a sensitive function not checked</t>
    <phoneticPr fontId="1" type="noConversion"/>
  </si>
  <si>
    <t>함수에 의한 반환 값의 잘못된 판단 주의</t>
    <phoneticPr fontId="1" type="noConversion"/>
  </si>
  <si>
    <t>C-ARR-011</t>
    <phoneticPr fontId="1" type="noConversion"/>
  </si>
  <si>
    <t>Standard function call with incorrect arguments</t>
    <phoneticPr fontId="1" type="noConversion"/>
  </si>
  <si>
    <t>Copy of overlapping memory</t>
    <phoneticPr fontId="1" type="noConversion"/>
  </si>
  <si>
    <t>Variable length array with non-positive size</t>
    <phoneticPr fontId="1" type="noConversion"/>
  </si>
  <si>
    <t>Incorrect data type passed to va_arg</t>
    <phoneticPr fontId="1" type="noConversion"/>
  </si>
  <si>
    <t>Use of automatic variable as putenv-family function argument</t>
    <phoneticPr fontId="1" type="noConversion"/>
  </si>
  <si>
    <t>Format string specifiers and arguments mismatch</t>
    <phoneticPr fontId="1" type="noConversion"/>
  </si>
  <si>
    <t>Declaration mismatch</t>
    <phoneticPr fontId="1" type="noConversion"/>
  </si>
  <si>
    <t>Writing to const qualified object</t>
    <phoneticPr fontId="1" type="noConversion"/>
  </si>
  <si>
    <t>Bad file access mode or status</t>
    <phoneticPr fontId="1" type="noConversion"/>
  </si>
  <si>
    <t>Too many va_arg calls for current argument list</t>
    <phoneticPr fontId="1" type="noConversion"/>
  </si>
  <si>
    <t>Call to memset family with unintended value</t>
    <phoneticPr fontId="1" type="noConversion"/>
  </si>
  <si>
    <t>소스 버퍼 크기를 사용하여 버퍼 접근</t>
    <phoneticPr fontId="1" type="noConversion"/>
  </si>
  <si>
    <t>C-ARR-009</t>
    <phoneticPr fontId="1" type="noConversion"/>
  </si>
  <si>
    <t>Pointer dereference with tainted offset</t>
    <phoneticPr fontId="1" type="noConversion"/>
  </si>
  <si>
    <t>Array access with tainted index</t>
    <phoneticPr fontId="1" type="noConversion"/>
  </si>
  <si>
    <t>Destination buffer underflow in string manipulation</t>
    <phoneticPr fontId="1" type="noConversion"/>
  </si>
  <si>
    <t>Buffer overflow from incorrect string format specifier</t>
    <phoneticPr fontId="1" type="noConversion"/>
  </si>
  <si>
    <t>버퍼 시작 지점 이전에 쓰기</t>
    <phoneticPr fontId="1" type="noConversion"/>
  </si>
  <si>
    <t>C-ARR-008</t>
    <phoneticPr fontId="1" type="noConversion"/>
  </si>
  <si>
    <t>Mismatch between data length and size</t>
    <phoneticPr fontId="1" type="noConversion"/>
  </si>
  <si>
    <t>for문과 같은 반복문에서 배열 등에 접근 시 길이 매개변수 처리에 주의</t>
    <phoneticPr fontId="1" type="noConversion"/>
  </si>
  <si>
    <t>C-ARR-007</t>
    <phoneticPr fontId="1" type="noConversion"/>
  </si>
  <si>
    <t>ARR39-C</t>
    <phoneticPr fontId="1" type="noConversion"/>
  </si>
  <si>
    <t>포인터에 크기가 자동으로 조정된 정수의 덧셈 및 뺄셈 연산 금지</t>
    <phoneticPr fontId="1" type="noConversion"/>
  </si>
  <si>
    <t>C-ARR-006</t>
    <phoneticPr fontId="1" type="noConversion"/>
  </si>
  <si>
    <t>ARR38-C</t>
    <phoneticPr fontId="1" type="noConversion"/>
  </si>
  <si>
    <t>라이브러리 함수로부터 무효한 포인터 생성 금지</t>
    <phoneticPr fontId="1" type="noConversion"/>
  </si>
  <si>
    <t>C-ARR-005</t>
    <phoneticPr fontId="1" type="noConversion"/>
  </si>
  <si>
    <t>ARR37-C</t>
    <phoneticPr fontId="1" type="noConversion"/>
  </si>
  <si>
    <t>비배열 객체 포인터에 정수 덧셈 혹은 뺄셈 연산 금지</t>
    <phoneticPr fontId="1" type="noConversion"/>
  </si>
  <si>
    <t>C-ARR-004</t>
    <phoneticPr fontId="1" type="noConversion"/>
  </si>
  <si>
    <t>ARR36-C</t>
    <phoneticPr fontId="1" type="noConversion"/>
  </si>
  <si>
    <t>같은 배열을 참조하지 않는 두 개의 포인터 뺄셈 혹은 비교 연산 금지</t>
    <phoneticPr fontId="1" type="noConversion"/>
  </si>
  <si>
    <t>C-ARR-003</t>
    <phoneticPr fontId="1" type="noConversion"/>
  </si>
  <si>
    <t>ARR32-C</t>
    <phoneticPr fontId="1" type="noConversion"/>
  </si>
  <si>
    <t>가변 길이 배열의 크기 인수가 유효한 범위 내에 있다는 것을 보장</t>
    <phoneticPr fontId="1" type="noConversion"/>
  </si>
  <si>
    <t>C-ARR-002</t>
    <phoneticPr fontId="1" type="noConversion"/>
  </si>
  <si>
    <t>ARR30-C</t>
    <phoneticPr fontId="1" type="noConversion"/>
  </si>
  <si>
    <t>배열의 메모리 읽기, 쓰기 작업 시 인덱스가 유효 범위 안에 있음을 보장</t>
    <phoneticPr fontId="1" type="noConversion"/>
  </si>
  <si>
    <t>C-ARR-001</t>
    <phoneticPr fontId="1" type="noConversion"/>
  </si>
  <si>
    <t>배열</t>
    <phoneticPr fontId="1" type="noConversion"/>
  </si>
  <si>
    <t>Use of path manipulation function without maximum-sized buffer checking</t>
    <phoneticPr fontId="1" type="noConversion"/>
  </si>
  <si>
    <t>최대 크기 버퍼 없이 경로 조작 기능 사용 금지</t>
    <phoneticPr fontId="1" type="noConversion"/>
  </si>
  <si>
    <t>C-EXP-019</t>
    <phoneticPr fontId="1" type="noConversion"/>
  </si>
  <si>
    <t>EXP47-C</t>
    <phoneticPr fontId="1" type="noConversion"/>
  </si>
  <si>
    <t>옳지 않은 인수 va_arg에 전달 금지</t>
    <phoneticPr fontId="1" type="noConversion"/>
  </si>
  <si>
    <t>C-EXP-018</t>
    <phoneticPr fontId="1" type="noConversion"/>
  </si>
  <si>
    <t>EXP46-C</t>
    <phoneticPr fontId="1" type="noConversion"/>
  </si>
  <si>
    <t>Boolean 피연산자에 bitwise 연산자 사용 금지</t>
    <phoneticPr fontId="1" type="noConversion"/>
  </si>
  <si>
    <t>C-EXP-017</t>
    <phoneticPr fontId="1" type="noConversion"/>
  </si>
  <si>
    <t>EXP45-C</t>
    <phoneticPr fontId="1" type="noConversion"/>
  </si>
  <si>
    <t>특정 연산자에서 할당 연산 수행 금지</t>
    <phoneticPr fontId="1" type="noConversion"/>
  </si>
  <si>
    <t>C-EXP-016</t>
    <phoneticPr fontId="1" type="noConversion"/>
  </si>
  <si>
    <t>EXP44-C</t>
    <phoneticPr fontId="1" type="noConversion"/>
  </si>
  <si>
    <t>sizeof, _Alignof, _Generic에 피연산자로 변수의 값을 바꾸는 표현식 전달 금지</t>
    <phoneticPr fontId="1" type="noConversion"/>
  </si>
  <si>
    <t>C-EXP-015</t>
    <phoneticPr fontId="1" type="noConversion"/>
  </si>
  <si>
    <t>EXP43-C</t>
    <phoneticPr fontId="1" type="noConversion"/>
  </si>
  <si>
    <t>restrict 자격이 있는 포인터 사용 시 정의되지 않은 동작이 발생하지 않도록 주의 필요</t>
    <phoneticPr fontId="1" type="noConversion"/>
  </si>
  <si>
    <t>C-EXP-014</t>
    <phoneticPr fontId="1" type="noConversion"/>
  </si>
  <si>
    <t>EXP42-C</t>
    <phoneticPr fontId="1" type="noConversion"/>
  </si>
  <si>
    <t>패딩 데이터 비교 금지</t>
    <phoneticPr fontId="1" type="noConversion"/>
  </si>
  <si>
    <t>C-EXP-013</t>
    <phoneticPr fontId="1" type="noConversion"/>
  </si>
  <si>
    <t>EXP40-C</t>
    <phoneticPr fontId="1" type="noConversion"/>
  </si>
  <si>
    <t>상수 객체 수정 금지</t>
    <phoneticPr fontId="1" type="noConversion"/>
  </si>
  <si>
    <t>C-EXP-012</t>
    <phoneticPr fontId="1" type="noConversion"/>
  </si>
  <si>
    <t>EXP39-C</t>
    <phoneticPr fontId="1" type="noConversion"/>
  </si>
  <si>
    <t>호환되지 않는 타입의 포인터를 통한 변수 접근 금지</t>
    <phoneticPr fontId="1" type="noConversion"/>
  </si>
  <si>
    <t>C-EXP-011</t>
    <phoneticPr fontId="1" type="noConversion"/>
  </si>
  <si>
    <t>EXP36-C</t>
    <phoneticPr fontId="1" type="noConversion"/>
  </si>
  <si>
    <t>포인터를 더 엄격하게 정렬되는 포인터 타입으로 캐스팅 금지</t>
    <phoneticPr fontId="1" type="noConversion"/>
  </si>
  <si>
    <t>C-EXP-010</t>
    <phoneticPr fontId="1" type="noConversion"/>
  </si>
  <si>
    <t>EXP34-C</t>
    <phoneticPr fontId="1" type="noConversion"/>
  </si>
  <si>
    <t>널 포인터 역참조 금지</t>
    <phoneticPr fontId="1" type="noConversion"/>
  </si>
  <si>
    <t>C-EXP-009</t>
    <phoneticPr fontId="1" type="noConversion"/>
  </si>
  <si>
    <t>Code Metrics Number of direct recursions</t>
    <phoneticPr fontId="1" type="noConversion"/>
  </si>
  <si>
    <t>CODE_METRICS</t>
    <phoneticPr fontId="1" type="noConversion"/>
  </si>
  <si>
    <t>Code Metrics Number of recursions</t>
    <phoneticPr fontId="1" type="noConversion"/>
  </si>
  <si>
    <t>재귀적 호출은 가급적 사용하지 않으며 필요시 한정된 수의 재귀 호출만 허용</t>
    <phoneticPr fontId="1" type="noConversion"/>
  </si>
  <si>
    <t>C-EXP-008</t>
    <phoneticPr fontId="1" type="noConversion"/>
  </si>
  <si>
    <t>Loop bounded with tainted value</t>
    <phoneticPr fontId="1" type="noConversion"/>
  </si>
  <si>
    <t>반복문의 제어 조건에 대하여 확인되지 않은 외부 입력 등에 주의</t>
    <phoneticPr fontId="1" type="noConversion"/>
  </si>
  <si>
    <t>C-EXP-007</t>
    <phoneticPr fontId="1" type="noConversion"/>
  </si>
  <si>
    <t>Invalid use of == operator</t>
    <phoneticPr fontId="1" type="noConversion"/>
  </si>
  <si>
    <t>할당 연산자 대신 비교 연산자를 사용하는 경우에 주의</t>
    <phoneticPr fontId="1" type="noConversion"/>
  </si>
  <si>
    <t>C-EXP-006</t>
    <phoneticPr fontId="1" type="noConversion"/>
  </si>
  <si>
    <t>Invalid use of = operator</t>
    <phoneticPr fontId="1" type="noConversion"/>
  </si>
  <si>
    <t>C-EXP-005</t>
    <phoneticPr fontId="1" type="noConversion"/>
  </si>
  <si>
    <t>Missing reset of freed pointer</t>
    <phoneticPr fontId="1" type="noConversion"/>
  </si>
  <si>
    <t>Environment pointer invalidated by previous operation</t>
    <phoneticPr fontId="1" type="noConversion"/>
  </si>
  <si>
    <t>Accessing object with temporary lifetime</t>
    <phoneticPr fontId="1" type="noConversion"/>
  </si>
  <si>
    <t>Pointer or reference to stack variable leaving scope</t>
    <phoneticPr fontId="1" type="noConversion"/>
  </si>
  <si>
    <t>Use of previously freed pointer</t>
    <phoneticPr fontId="1" type="noConversion"/>
  </si>
  <si>
    <t>Deallocation of previously deallocated pointer</t>
    <phoneticPr fontId="1" type="noConversion"/>
  </si>
  <si>
    <t>Non-initialized pointer</t>
    <phoneticPr fontId="1" type="noConversion"/>
  </si>
  <si>
    <t>Tainted NULL or non-null-terminated string</t>
    <phoneticPr fontId="1" type="noConversion"/>
  </si>
  <si>
    <t>Use of tainted pointer</t>
    <phoneticPr fontId="1" type="noConversion"/>
  </si>
  <si>
    <t>비정상적인 포인터를 참조하지 않도록 주의</t>
    <phoneticPr fontId="1" type="noConversion"/>
  </si>
  <si>
    <t>C-EXP-004</t>
    <phoneticPr fontId="1" type="noConversion"/>
  </si>
  <si>
    <t>EXP33-C</t>
    <phoneticPr fontId="1" type="noConversion"/>
  </si>
  <si>
    <t>초기화되지 않은 메모리 참조(접근, 일기) 금지</t>
    <phoneticPr fontId="1" type="noConversion"/>
  </si>
  <si>
    <t>C-EXP-003</t>
    <phoneticPr fontId="1" type="noConversion"/>
  </si>
  <si>
    <t>EXP30-C</t>
    <phoneticPr fontId="1" type="noConversion"/>
  </si>
  <si>
    <t>부수효과(Side Effect)를 발생시키는 계산(평가) 순서에 주의</t>
    <phoneticPr fontId="1" type="noConversion"/>
  </si>
  <si>
    <t>C-EXP-002</t>
    <phoneticPr fontId="1" type="noConversion"/>
  </si>
  <si>
    <t>EXP12-C</t>
    <phoneticPr fontId="1" type="noConversion"/>
  </si>
  <si>
    <t>함수에 의한 반환 값 무시 금지</t>
    <phoneticPr fontId="1" type="noConversion"/>
  </si>
  <si>
    <t>C-EXP-001</t>
    <phoneticPr fontId="1" type="noConversion"/>
  </si>
  <si>
    <t>표현식</t>
    <phoneticPr fontId="1" type="noConversion"/>
  </si>
  <si>
    <t>Destination buffer overflow in string manipulation</t>
    <phoneticPr fontId="1" type="noConversion"/>
  </si>
  <si>
    <t>Unreliable cast of pointer</t>
    <phoneticPr fontId="1" type="noConversion"/>
  </si>
  <si>
    <t>Misuse of narrow or wide character string</t>
    <phoneticPr fontId="1" type="noConversion"/>
  </si>
  <si>
    <t>멀티바이트 문자열 길이의 잘못된 계산</t>
    <phoneticPr fontId="1" type="noConversion"/>
  </si>
  <si>
    <t>C-STR-006</t>
    <phoneticPr fontId="1" type="noConversion"/>
  </si>
  <si>
    <t>STR38-C</t>
    <phoneticPr fontId="1" type="noConversion"/>
  </si>
  <si>
    <t>문자열을 다루는 함수에 인수를 전달할 때 narrow 문자열과 wide 문자열을 정확히 구분 필요</t>
    <phoneticPr fontId="1" type="noConversion"/>
  </si>
  <si>
    <t>C-STR-005</t>
    <phoneticPr fontId="1" type="noConversion"/>
  </si>
  <si>
    <t>STR37-C</t>
    <phoneticPr fontId="1" type="noConversion"/>
  </si>
  <si>
    <t>문자를 다루는 함수들의 인수를 unsigned char 로 전달 필요</t>
    <phoneticPr fontId="1" type="noConversion"/>
  </si>
  <si>
    <t>C-STR-004</t>
    <phoneticPr fontId="1" type="noConversion"/>
  </si>
  <si>
    <t>STR32-C</t>
    <phoneticPr fontId="1" type="noConversion"/>
  </si>
  <si>
    <t>널 종료 문자로 끝나지 않은 문자열을 라이브러리 함수 전달 금지</t>
    <phoneticPr fontId="1" type="noConversion"/>
  </si>
  <si>
    <t>C-STR-003</t>
    <phoneticPr fontId="1" type="noConversion"/>
  </si>
  <si>
    <t>STR31-C</t>
    <phoneticPr fontId="1" type="noConversion"/>
  </si>
  <si>
    <t>문자열 데이터와 널 종료 문자를 담을 충분한 공간 보유 보장</t>
    <phoneticPr fontId="1" type="noConversion"/>
  </si>
  <si>
    <t>C-STR-002</t>
    <phoneticPr fontId="1" type="noConversion"/>
  </si>
  <si>
    <t>STR30-C</t>
    <phoneticPr fontId="1" type="noConversion"/>
  </si>
  <si>
    <t>문자열 리터럴 수정 금지</t>
    <phoneticPr fontId="1" type="noConversion"/>
  </si>
  <si>
    <t>C-STR-001</t>
    <phoneticPr fontId="1" type="noConversion"/>
  </si>
  <si>
    <t>FLP36-C</t>
    <phoneticPr fontId="1" type="noConversion"/>
  </si>
  <si>
    <t>정수형 타입에서 부동 소수점 타입으로 형변환 시 정밀도 보호</t>
    <phoneticPr fontId="1" type="noConversion"/>
  </si>
  <si>
    <t>C-FLP-003</t>
    <phoneticPr fontId="1" type="noConversion"/>
  </si>
  <si>
    <t>FLP34-C</t>
    <phoneticPr fontId="1" type="noConversion"/>
  </si>
  <si>
    <t>부동 소수점 타입 형변환이 새로운 타입의 범위 내에서 이뤄지도록 보장</t>
    <phoneticPr fontId="1" type="noConversion"/>
  </si>
  <si>
    <t>C-FLP-002</t>
    <phoneticPr fontId="1" type="noConversion"/>
  </si>
  <si>
    <t>FLP30-C</t>
    <phoneticPr fontId="1" type="noConversion"/>
  </si>
  <si>
    <t>부동 소수점 변수를 반복문의 카운터로 사용 금지</t>
    <phoneticPr fontId="1" type="noConversion"/>
  </si>
  <si>
    <t>C-FLP-001</t>
    <phoneticPr fontId="1" type="noConversion"/>
  </si>
  <si>
    <t>Array access out of bounds</t>
    <phoneticPr fontId="1" type="noConversion"/>
  </si>
  <si>
    <t>Pointer access out of bounds</t>
    <phoneticPr fontId="1" type="noConversion"/>
  </si>
  <si>
    <t>Tainted size of variable length array</t>
    <phoneticPr fontId="1" type="noConversion"/>
  </si>
  <si>
    <t>Memory allocation with tainted size</t>
    <phoneticPr fontId="1" type="noConversion"/>
  </si>
  <si>
    <t>Tainted sign change conversion</t>
    <phoneticPr fontId="1" type="noConversion"/>
  </si>
  <si>
    <t>Unsigned integer conversion overflow</t>
    <phoneticPr fontId="1" type="noConversion"/>
  </si>
  <si>
    <t>Unsigned integer overflow</t>
    <phoneticPr fontId="1" type="noConversion"/>
  </si>
  <si>
    <t>C-INT-009</t>
    <phoneticPr fontId="1" type="noConversion"/>
  </si>
  <si>
    <t>INT36-C</t>
    <phoneticPr fontId="1" type="noConversion"/>
  </si>
  <si>
    <t>포인터와 정수형과의 형변환 시 주의</t>
    <phoneticPr fontId="1" type="noConversion"/>
  </si>
  <si>
    <t>C-INT-008</t>
    <phoneticPr fontId="1" type="noConversion"/>
  </si>
  <si>
    <t>INT35-C</t>
    <phoneticPr fontId="1" type="noConversion"/>
  </si>
  <si>
    <t>정수 타입의 옳은 정밀도 사용 필요</t>
    <phoneticPr fontId="1" type="noConversion"/>
  </si>
  <si>
    <t>C-INT-007</t>
    <phoneticPr fontId="1" type="noConversion"/>
  </si>
  <si>
    <t>INT34-C</t>
    <phoneticPr fontId="1" type="noConversion"/>
  </si>
  <si>
    <t>음수 값으로 시프트 또는 피연산자의 비트와 같거나 더 많은 비트로 시프트 금지</t>
    <phoneticPr fontId="1" type="noConversion"/>
  </si>
  <si>
    <t>C-INT-006</t>
    <phoneticPr fontId="1" type="noConversion"/>
  </si>
  <si>
    <t>INT33-C</t>
    <phoneticPr fontId="1" type="noConversion"/>
  </si>
  <si>
    <t>나눗셈이나 모듈로 연산에서 '0으로 나누기(Divide by Zero)' 에러가 발생하지 않도록 보장</t>
    <phoneticPr fontId="1" type="noConversion"/>
  </si>
  <si>
    <t>C-INT-005</t>
    <phoneticPr fontId="1" type="noConversion"/>
  </si>
  <si>
    <t>INT32-C</t>
    <phoneticPr fontId="1" type="noConversion"/>
  </si>
  <si>
    <t>부호 있는 정수의 연산이 오버플로우 되지 않도록 보장</t>
    <phoneticPr fontId="1" type="noConversion"/>
  </si>
  <si>
    <t>C-INT-004</t>
    <phoneticPr fontId="1" type="noConversion"/>
  </si>
  <si>
    <t>INT31-C</t>
    <phoneticPr fontId="1" type="noConversion"/>
  </si>
  <si>
    <t>정수 형변환 시 값이 잘리거나 변하지 않도록 보장</t>
    <phoneticPr fontId="1" type="noConversion"/>
  </si>
  <si>
    <t>C-INT-003</t>
    <phoneticPr fontId="1" type="noConversion"/>
  </si>
  <si>
    <t>INT30-C</t>
    <phoneticPr fontId="1" type="noConversion"/>
  </si>
  <si>
    <t>부호가 없는 숫자 연산이 래핑되지 않도록 보장</t>
    <phoneticPr fontId="1" type="noConversion"/>
  </si>
  <si>
    <t>C-INT-002</t>
    <phoneticPr fontId="1" type="noConversion"/>
  </si>
  <si>
    <t>INT02-C</t>
    <phoneticPr fontId="1" type="noConversion"/>
  </si>
  <si>
    <t>정수 변환 규칙에 주의</t>
    <phoneticPr fontId="1" type="noConversion"/>
  </si>
  <si>
    <t>C-INT-001</t>
    <phoneticPr fontId="1" type="noConversion"/>
  </si>
  <si>
    <t>정수 및 문자열</t>
    <phoneticPr fontId="1" type="noConversion"/>
  </si>
  <si>
    <t>최소값 검사 없이 수치 범위 비교 금지</t>
    <phoneticPr fontId="1" type="noConversion"/>
  </si>
  <si>
    <t>C-DCI-012</t>
    <phoneticPr fontId="1" type="noConversion"/>
  </si>
  <si>
    <t>Possibly unintended evaluation of expression because of operator precedence rules</t>
    <phoneticPr fontId="1" type="noConversion"/>
  </si>
  <si>
    <t>괄호를 사용한 연산자 우선순위의 명확한 처리 필요</t>
    <phoneticPr fontId="1" type="noConversion"/>
  </si>
  <si>
    <t>C-DCI-011</t>
    <phoneticPr fontId="1" type="noConversion"/>
  </si>
  <si>
    <t>Missing break of switch case</t>
    <phoneticPr fontId="1" type="noConversion"/>
  </si>
  <si>
    <t>Switch 문에서 Break 생략 금지</t>
    <phoneticPr fontId="1" type="noConversion"/>
  </si>
  <si>
    <t>C-DCI-010</t>
    <phoneticPr fontId="1" type="noConversion"/>
  </si>
  <si>
    <t>Missing case for switch condition</t>
    <phoneticPr fontId="1" type="noConversion"/>
  </si>
  <si>
    <t>Switch 문의 Default 케이스 누락 금지</t>
    <phoneticPr fontId="1" type="noConversion"/>
  </si>
  <si>
    <t>C-DCI-009</t>
    <phoneticPr fontId="1" type="noConversion"/>
  </si>
  <si>
    <t>Switch 경쟁 조건</t>
    <phoneticPr fontId="1" type="noConversion"/>
  </si>
  <si>
    <t>C-DCI-008</t>
    <phoneticPr fontId="1" type="noConversion"/>
  </si>
  <si>
    <t>DCL41-C</t>
    <phoneticPr fontId="1" type="noConversion"/>
  </si>
  <si>
    <t>Switch 문 내에서 첫 번째 Case 구문이 시작하기 전 변수 선언 금지</t>
    <phoneticPr fontId="1" type="noConversion"/>
  </si>
  <si>
    <t>C-DCI-007</t>
    <phoneticPr fontId="1" type="noConversion"/>
  </si>
  <si>
    <t>DCL40-C</t>
    <phoneticPr fontId="1" type="noConversion"/>
  </si>
  <si>
    <t>호환되지 않는 함수 혹은 객체 선언 금지</t>
    <phoneticPr fontId="1" type="noConversion"/>
  </si>
  <si>
    <t>C-DCI-006</t>
    <phoneticPr fontId="1" type="noConversion"/>
  </si>
  <si>
    <t>DCL39-C</t>
    <phoneticPr fontId="1" type="noConversion"/>
  </si>
  <si>
    <t>신뢰 경계를 통한 구조체 데이터 전달 시 정보 누수 회피 필요</t>
    <phoneticPr fontId="1" type="noConversion"/>
  </si>
  <si>
    <t>C-DCI-005</t>
    <phoneticPr fontId="1" type="noConversion"/>
  </si>
  <si>
    <t>DCL38-C</t>
    <phoneticPr fontId="1" type="noConversion"/>
  </si>
  <si>
    <t>가변 배열 선언 시 올바른 문법 사용 필요</t>
    <phoneticPr fontId="1" type="noConversion"/>
  </si>
  <si>
    <t>C-DCI-004</t>
    <phoneticPr fontId="1" type="noConversion"/>
  </si>
  <si>
    <r>
      <t>DCL37-C</t>
    </r>
    <r>
      <rPr>
        <sz val="11"/>
        <color theme="1"/>
        <rFont val="맑은 고딕"/>
        <family val="3"/>
        <charset val="129"/>
        <scheme val="minor"/>
      </rPr>
      <t/>
    </r>
    <phoneticPr fontId="1" type="noConversion"/>
  </si>
  <si>
    <t>예약된 식별자 선언 및 정의 금지</t>
    <phoneticPr fontId="1" type="noConversion"/>
  </si>
  <si>
    <t>C-DCI-003</t>
    <phoneticPr fontId="1" type="noConversion"/>
  </si>
  <si>
    <t>DCL36-C</t>
    <phoneticPr fontId="1" type="noConversion"/>
  </si>
  <si>
    <t>내외부 연결에 동일한 변수 동시 선언 금지</t>
    <phoneticPr fontId="1" type="noConversion"/>
  </si>
  <si>
    <t>C-DCI-002</t>
    <phoneticPr fontId="1" type="noConversion"/>
  </si>
  <si>
    <t>DCL30-C</t>
    <phoneticPr fontId="1" type="noConversion"/>
  </si>
  <si>
    <t>지역 변수 주소 반환 및 할당 금지</t>
    <phoneticPr fontId="1" type="noConversion"/>
  </si>
  <si>
    <t>C-DCI-001</t>
    <phoneticPr fontId="1" type="noConversion"/>
  </si>
  <si>
    <t>선언 및 초기화</t>
    <phoneticPr fontId="1" type="noConversion"/>
  </si>
  <si>
    <t>PRE32-C</t>
    <phoneticPr fontId="1" type="noConversion"/>
  </si>
  <si>
    <t>함수형 매크로 호출 시 전처리 지시자 인수 전달 금지</t>
    <phoneticPr fontId="1" type="noConversion"/>
  </si>
  <si>
    <t>C-PRE-003</t>
    <phoneticPr fontId="1" type="noConversion"/>
  </si>
  <si>
    <t>PRE31-C</t>
    <phoneticPr fontId="1" type="noConversion"/>
  </si>
  <si>
    <t>불안전한 매크로에 특정 변수 값 변환 인자 전달 금지</t>
    <phoneticPr fontId="1" type="noConversion"/>
  </si>
  <si>
    <t>C-PRE-002</t>
    <phoneticPr fontId="1" type="noConversion"/>
  </si>
  <si>
    <t>PRE30-C</t>
    <phoneticPr fontId="1" type="noConversion"/>
  </si>
  <si>
    <t>문자열 결합을 통한 국제문자세트(UCS)의 문자 이름 생성 금지</t>
    <phoneticPr fontId="1" type="noConversion"/>
  </si>
  <si>
    <t>C-PRE-001</t>
    <phoneticPr fontId="1" type="noConversion"/>
  </si>
  <si>
    <t>전처리</t>
    <phoneticPr fontId="1" type="noConversion"/>
  </si>
  <si>
    <t>코드 오류</t>
    <phoneticPr fontId="1" type="noConversion"/>
  </si>
  <si>
    <t>도구 검출명</t>
    <phoneticPr fontId="1" type="noConversion"/>
  </si>
  <si>
    <t>#</t>
    <phoneticPr fontId="1" type="noConversion"/>
  </si>
  <si>
    <t>P/F</t>
    <phoneticPr fontId="1" type="noConversion"/>
  </si>
  <si>
    <t>심각성</t>
    <phoneticPr fontId="1" type="noConversion"/>
  </si>
  <si>
    <t>ID</t>
    <phoneticPr fontId="1" type="noConversion"/>
  </si>
  <si>
    <t>소분류</t>
    <phoneticPr fontId="1" type="noConversion"/>
  </si>
  <si>
    <t>대분류</t>
    <phoneticPr fontId="1" type="noConversion"/>
  </si>
  <si>
    <t>Unreviewed</t>
    <phoneticPr fontId="1" type="noConversion"/>
  </si>
  <si>
    <t>Rule 개수</t>
    <phoneticPr fontId="1" type="noConversion"/>
  </si>
  <si>
    <t>Pass 개수</t>
    <phoneticPr fontId="1" type="noConversion"/>
  </si>
  <si>
    <t>통과율(%)</t>
    <phoneticPr fontId="1" type="noConversion"/>
  </si>
  <si>
    <t>정당화 사유 미확보</t>
    <phoneticPr fontId="1" type="noConversion"/>
  </si>
  <si>
    <t>정당화 사유 확보</t>
    <phoneticPr fontId="1" type="noConversion"/>
  </si>
  <si>
    <t>위반 규칙 수</t>
    <phoneticPr fontId="1" type="noConversion"/>
  </si>
  <si>
    <t>C-ARR-010</t>
    <phoneticPr fontId="1" type="noConversion"/>
  </si>
  <si>
    <t>함수 호출 시 잘못된 인자가 들어가지 않도록 주의</t>
    <phoneticPr fontId="1" type="noConversion"/>
  </si>
  <si>
    <t>Use of a forbidden function</t>
    <phoneticPr fontId="1" type="noConversion"/>
  </si>
  <si>
    <t>Good practice</t>
    <phoneticPr fontId="1" type="noConversion"/>
  </si>
  <si>
    <t>Incorrectly indented statement</t>
    <phoneticPr fontId="1" type="noConversion"/>
  </si>
  <si>
    <t>Semicolon on the same line as an if, for or while statement</t>
    <phoneticPr fontId="1" type="noConversion"/>
  </si>
  <si>
    <t>File access between time of check and use</t>
    <phoneticPr fontId="1" type="noConversion"/>
  </si>
  <si>
    <t>Tainted sign change conversion</t>
    <phoneticPr fontId="1" type="noConversion"/>
  </si>
  <si>
    <t>DEFECT</t>
    <phoneticPr fontId="1" type="noConversion"/>
  </si>
  <si>
    <t>Invalid use of standard library string routine</t>
    <phoneticPr fontId="1" type="noConversion"/>
  </si>
  <si>
    <t>CON34-C</t>
    <phoneticPr fontId="1" type="noConversion"/>
  </si>
  <si>
    <t>CON38-C</t>
    <phoneticPr fontId="1" type="noConversion"/>
  </si>
  <si>
    <t>Uncertain memory cleaning</t>
    <phoneticPr fontId="1" type="noConversion"/>
  </si>
  <si>
    <t>rule</t>
    <phoneticPr fontId="1" type="noConversion"/>
  </si>
  <si>
    <t>Declare objects shared between threads with appropriate storage durations</t>
    <phoneticPr fontId="1" type="noConversion"/>
  </si>
  <si>
    <t>Preserve thread safety and liveness when using condition variables</t>
    <phoneticPr fontId="1" type="noConversion"/>
  </si>
  <si>
    <t>Security</t>
    <phoneticPr fontId="1" type="noConversion"/>
  </si>
  <si>
    <t>Invalid use of standard library string routine</t>
    <phoneticPr fontId="1" type="noConversion"/>
  </si>
  <si>
    <t>Date</t>
  </si>
  <si>
    <t>Change Description</t>
  </si>
  <si>
    <t>Prepared/Modified by</t>
  </si>
  <si>
    <t>Version Number</t>
    <phoneticPr fontId="1" type="noConversion"/>
  </si>
  <si>
    <t>1.0.0</t>
    <phoneticPr fontId="1" type="noConversion"/>
  </si>
  <si>
    <t>박현석
최성욱</t>
    <phoneticPr fontId="1" type="noConversion"/>
  </si>
  <si>
    <t>Use of a forbidden function
(Detect and justify function names containing 'debug', 'DEBUG' or 'Debug')</t>
    <phoneticPr fontId="1" type="noConversion"/>
  </si>
  <si>
    <t>Use of a forbidden function
(Detect and justify function names containing 'HMAC' or 'CMAC')</t>
    <phoneticPr fontId="1" type="noConversion"/>
  </si>
  <si>
    <t>심각도 ‘상’ 의 규칙의 경우 100% 이상 통과
심각도 ‘중’ 의 규칙의 경우 100% 이상 통과
심각도 ‘하’ 의 규칙의 경우 100% 이상 통과</t>
    <phoneticPr fontId="1" type="noConversion"/>
  </si>
  <si>
    <r>
      <rPr>
        <sz val="10"/>
        <color theme="1"/>
        <rFont val="Arial Unicode MS"/>
        <family val="2"/>
        <charset val="129"/>
      </rPr>
      <t xml:space="preserve">1. </t>
    </r>
    <r>
      <rPr>
        <sz val="10"/>
        <color theme="1"/>
        <rFont val="맑은 고딕"/>
        <family val="2"/>
        <charset val="129"/>
      </rPr>
      <t>신규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보안코딩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성적서</t>
    </r>
    <r>
      <rPr>
        <sz val="10"/>
        <color theme="1"/>
        <rFont val="Arial Unicode MS"/>
        <family val="2"/>
        <charset val="129"/>
      </rPr>
      <t xml:space="preserve"> Template </t>
    </r>
    <r>
      <rPr>
        <sz val="10"/>
        <color theme="1"/>
        <rFont val="맑은 고딕"/>
        <family val="2"/>
        <charset val="129"/>
      </rPr>
      <t>적용</t>
    </r>
    <r>
      <rPr>
        <sz val="10"/>
        <color theme="1"/>
        <rFont val="Arial Unicode MS"/>
        <family val="2"/>
        <charset val="129"/>
      </rPr>
      <t xml:space="preserve">
(https://confluence.hmg-corp.io/pages/viewpage.action?pageId=500864011)
(https://vmsvnas40.autron.hkmg.global:8443/svn/XAR/Project_Management/trunk/Integration_Test/AUTOSAR%20%EA%B0%9C%EB%B0%9C%20%ED%92%88%EC%A7%88%20%EA%B8%B0%EC%A4%80.xlsx/?r=390325)
2. Sparrow Sheet </t>
    </r>
    <r>
      <rPr>
        <sz val="10"/>
        <color theme="1"/>
        <rFont val="맑은 고딕"/>
        <family val="2"/>
        <charset val="129"/>
      </rPr>
      <t>및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관련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로직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제거</t>
    </r>
    <r>
      <rPr>
        <sz val="10"/>
        <color theme="1"/>
        <rFont val="Arial Unicode MS"/>
        <family val="2"/>
        <charset val="129"/>
      </rPr>
      <t xml:space="preserve">
3. Unreview </t>
    </r>
    <r>
      <rPr>
        <sz val="10"/>
        <color theme="1"/>
        <rFont val="맑은 고딕"/>
        <family val="2"/>
        <charset val="129"/>
      </rPr>
      <t>건에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대해</t>
    </r>
    <r>
      <rPr>
        <sz val="10"/>
        <color theme="1"/>
        <rFont val="Arial Unicode MS"/>
        <family val="2"/>
        <charset val="129"/>
      </rPr>
      <t xml:space="preserve"> Log </t>
    </r>
    <r>
      <rPr>
        <sz val="10"/>
        <color theme="1"/>
        <rFont val="맑은 고딕"/>
        <family val="2"/>
        <charset val="129"/>
      </rPr>
      <t>출력하도록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개선</t>
    </r>
    <r>
      <rPr>
        <sz val="10"/>
        <color theme="1"/>
        <rFont val="Arial Unicode MS"/>
        <family val="2"/>
        <charset val="129"/>
      </rPr>
      <t xml:space="preserve">
4. Code Metrics </t>
    </r>
    <r>
      <rPr>
        <sz val="10"/>
        <color theme="1"/>
        <rFont val="맑은 고딕"/>
        <family val="2"/>
        <charset val="129"/>
      </rPr>
      <t>결과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없을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시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오류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출력하도록</t>
    </r>
    <r>
      <rPr>
        <sz val="10"/>
        <color theme="1"/>
        <rFont val="Arial Unicode MS"/>
        <family val="2"/>
        <charset val="129"/>
      </rPr>
      <t xml:space="preserve"> </t>
    </r>
    <r>
      <rPr>
        <sz val="10"/>
        <color theme="1"/>
        <rFont val="맑은 고딕"/>
        <family val="2"/>
        <charset val="129"/>
      </rPr>
      <t>개선</t>
    </r>
    <r>
      <rPr>
        <sz val="10"/>
        <color theme="1"/>
        <rFont val="Arial Unicode MS"/>
        <family val="2"/>
        <charset val="129"/>
      </rPr>
      <t xml:space="preserve">
5. Template Revision History Sheet </t>
    </r>
    <r>
      <rPr>
        <sz val="10"/>
        <color theme="1"/>
        <rFont val="맑은 고딕"/>
        <family val="2"/>
        <charset val="129"/>
      </rPr>
      <t>추가</t>
    </r>
    <r>
      <rPr>
        <sz val="10"/>
        <color theme="1"/>
        <rFont val="Arial Unicode MS"/>
        <family val="2"/>
        <charset val="129"/>
      </rPr>
      <t xml:space="preserve">
6. </t>
    </r>
    <r>
      <rPr>
        <sz val="10"/>
        <color theme="1"/>
        <rFont val="맑은 고딕"/>
        <family val="2"/>
        <charset val="129"/>
      </rPr>
      <t>보안코딩성적</t>
    </r>
    <r>
      <rPr>
        <sz val="10"/>
        <color theme="1"/>
        <rFont val="Arial Unicode MS"/>
        <family val="2"/>
        <charset val="129"/>
      </rPr>
      <t xml:space="preserve"> Sheet Pass Condition </t>
    </r>
    <r>
      <rPr>
        <sz val="10"/>
        <color theme="1"/>
        <rFont val="맑은 고딕"/>
        <family val="2"/>
        <charset val="129"/>
      </rPr>
      <t>업데이트</t>
    </r>
    <phoneticPr fontId="1" type="noConversion"/>
  </si>
  <si>
    <t>비교 연산자 대신 할당 연산자를 사용하는 경우에 주의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</si>
</sst>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d/mmm/yyyy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sz val="10"/>
      <color theme="1"/>
      <name val="Arial Unicode MS"/>
      <family val="2"/>
      <charset val="129"/>
    </font>
    <font>
      <sz val="10"/>
      <color theme="1"/>
      <name val="Arial"/>
      <family val="2"/>
      <charset val="129"/>
    </font>
    <font>
      <sz val="10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EEAF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0" fillId="0" borderId="1" xfId="0" quotePrefix="1" applyBorder="1" applyAlignment="1">
      <alignment horizontal="center" vertical="center" wrapText="1"/>
    </xf>
    <xf numFmtId="0" fontId="6" fillId="5" borderId="1" xfId="1" applyFont="1" applyFill="1" applyBorder="1" applyAlignment="1">
      <alignment horizontal="center" vertical="center" wrapText="1"/>
    </xf>
    <xf numFmtId="0" fontId="7" fillId="5" borderId="1" xfId="1" applyFont="1" applyFill="1" applyBorder="1" applyAlignment="1">
      <alignment horizontal="center" vertical="center"/>
    </xf>
    <xf numFmtId="14" fontId="8" fillId="0" borderId="1" xfId="1" applyNumberFormat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176" fontId="8" fillId="0" borderId="1" xfId="1" applyNumberFormat="1" applyFont="1" applyBorder="1" applyAlignment="1">
      <alignment horizontal="center" vertical="center" wrapText="1"/>
    </xf>
    <xf numFmtId="49" fontId="8" fillId="0" borderId="1" xfId="1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</cellXfs>
  <cellStyles count="2">
    <cellStyle name="Normal 3" xfId="1" xr:uid="{5864E506-DD07-4074-A5A2-203E4DE5B3F7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628650</xdr:colOff>
      <xdr:row>28</xdr:row>
      <xdr:rowOff>123825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7486650" cy="59912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0</xdr:rowOff>
        </xdr:from>
        <xdr:to>
          <xdr:col>3</xdr:col>
          <xdr:colOff>19050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분석하기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38100</xdr:colOff>
      <xdr:row>3</xdr:row>
      <xdr:rowOff>85726</xdr:rowOff>
    </xdr:from>
    <xdr:to>
      <xdr:col>11</xdr:col>
      <xdr:colOff>66675</xdr:colOff>
      <xdr:row>24</xdr:row>
      <xdr:rowOff>57150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8100" y="714376"/>
          <a:ext cx="7572375" cy="4371974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1">
              <a:latin typeface="+mj-ea"/>
              <a:ea typeface="+mj-ea"/>
            </a:rPr>
            <a:t>-</a:t>
          </a:r>
          <a:r>
            <a:rPr lang="en-US" altLang="ko-KR" sz="1400" b="1" baseline="0">
              <a:latin typeface="+mj-ea"/>
              <a:ea typeface="+mj-ea"/>
            </a:rPr>
            <a:t> </a:t>
          </a:r>
          <a:r>
            <a:rPr lang="ko-KR" altLang="en-US" sz="1400" b="1" baseline="0">
              <a:latin typeface="+mj-ea"/>
              <a:ea typeface="+mj-ea"/>
            </a:rPr>
            <a:t>사용 방법 </a:t>
          </a:r>
          <a:r>
            <a:rPr lang="en-US" altLang="ko-KR" sz="1400" b="1" baseline="0">
              <a:latin typeface="+mj-ea"/>
              <a:ea typeface="+mj-ea"/>
            </a:rPr>
            <a:t>-</a:t>
          </a:r>
          <a:endParaRPr lang="en-US" altLang="ko-KR" sz="1400" b="1">
            <a:latin typeface="+mj-ea"/>
            <a:ea typeface="+mj-ea"/>
          </a:endParaRPr>
        </a:p>
        <a:p>
          <a:r>
            <a:rPr lang="en-US" altLang="ko-KR" sz="1400">
              <a:latin typeface="+mj-ea"/>
              <a:ea typeface="+mj-ea"/>
            </a:rPr>
            <a:t>1. '</a:t>
          </a:r>
          <a:r>
            <a:rPr lang="ko-KR" altLang="en-US" sz="1400">
              <a:latin typeface="+mj-ea"/>
              <a:ea typeface="+mj-ea"/>
            </a:rPr>
            <a:t>분석하기</a:t>
          </a:r>
          <a:r>
            <a:rPr lang="en-US" altLang="ko-KR" sz="1400">
              <a:latin typeface="+mj-ea"/>
              <a:ea typeface="+mj-ea"/>
            </a:rPr>
            <a:t>'</a:t>
          </a:r>
          <a:r>
            <a:rPr lang="en-US" altLang="ko-KR" sz="1400" baseline="0">
              <a:latin typeface="+mj-ea"/>
              <a:ea typeface="+mj-ea"/>
            </a:rPr>
            <a:t> </a:t>
          </a:r>
          <a:r>
            <a:rPr lang="ko-KR" altLang="en-US" sz="1400">
              <a:latin typeface="+mj-ea"/>
              <a:ea typeface="+mj-ea"/>
            </a:rPr>
            <a:t>를 누른다</a:t>
          </a:r>
          <a:r>
            <a:rPr lang="en-US" altLang="ko-KR" sz="1400">
              <a:latin typeface="+mj-ea"/>
              <a:ea typeface="+mj-ea"/>
            </a:rPr>
            <a:t>.</a:t>
          </a:r>
        </a:p>
        <a:p>
          <a:r>
            <a:rPr lang="en-US" altLang="ko-KR" sz="1400">
              <a:latin typeface="+mj-ea"/>
              <a:ea typeface="+mj-ea"/>
            </a:rPr>
            <a:t>2. '</a:t>
          </a:r>
          <a:r>
            <a:rPr lang="ko-KR" altLang="en-US" sz="1400">
              <a:latin typeface="+mj-ea"/>
              <a:ea typeface="+mj-ea"/>
            </a:rPr>
            <a:t>모듈명</a:t>
          </a:r>
          <a:r>
            <a:rPr lang="en-US" altLang="ko-KR" sz="1400">
              <a:latin typeface="+mj-ea"/>
              <a:ea typeface="+mj-ea"/>
            </a:rPr>
            <a:t>'</a:t>
          </a:r>
          <a:r>
            <a:rPr lang="ko-KR" altLang="en-US" sz="1400">
              <a:latin typeface="+mj-ea"/>
              <a:ea typeface="+mj-ea"/>
            </a:rPr>
            <a:t>을 입력한다</a:t>
          </a:r>
          <a:r>
            <a:rPr lang="en-US" altLang="ko-KR" sz="1400">
              <a:latin typeface="+mj-ea"/>
              <a:ea typeface="+mj-ea"/>
            </a:rPr>
            <a:t>. (</a:t>
          </a:r>
          <a:r>
            <a:rPr lang="ko-KR" altLang="en-US" sz="1400">
              <a:latin typeface="+mj-ea"/>
              <a:ea typeface="+mj-ea"/>
            </a:rPr>
            <a:t>결과 파일의 이름으로 참조</a:t>
          </a:r>
          <a:r>
            <a:rPr lang="en-US" altLang="ko-KR" sz="1400">
              <a:latin typeface="+mj-ea"/>
              <a:ea typeface="+mj-ea"/>
            </a:rPr>
            <a:t>, </a:t>
          </a:r>
          <a:r>
            <a:rPr lang="ko-KR" altLang="en-US" sz="1400">
              <a:latin typeface="+mj-ea"/>
              <a:ea typeface="+mj-ea"/>
            </a:rPr>
            <a:t>보안코딩성적</a:t>
          </a:r>
          <a:r>
            <a:rPr lang="en-US" altLang="ko-KR" sz="1400">
              <a:latin typeface="+mj-ea"/>
              <a:ea typeface="+mj-ea"/>
            </a:rPr>
            <a:t>_&lt;User</a:t>
          </a:r>
          <a:r>
            <a:rPr lang="ko-KR" altLang="en-US" sz="1400">
              <a:latin typeface="+mj-ea"/>
              <a:ea typeface="+mj-ea"/>
            </a:rPr>
            <a:t>입력</a:t>
          </a:r>
          <a:r>
            <a:rPr lang="en-US" altLang="ko-KR" sz="1400">
              <a:latin typeface="+mj-ea"/>
              <a:ea typeface="+mj-ea"/>
            </a:rPr>
            <a:t>&gt;.xlsm</a:t>
          </a:r>
          <a:r>
            <a:rPr lang="en-US" altLang="ko-KR" sz="1400" baseline="0">
              <a:latin typeface="+mj-ea"/>
              <a:ea typeface="+mj-ea"/>
            </a:rPr>
            <a:t> </a:t>
          </a:r>
          <a:r>
            <a:rPr lang="ko-KR" altLang="en-US" sz="1400">
              <a:latin typeface="+mj-ea"/>
              <a:ea typeface="+mj-ea"/>
            </a:rPr>
            <a:t>생성</a:t>
          </a:r>
          <a:r>
            <a:rPr lang="en-US" altLang="ko-KR" sz="1400">
              <a:latin typeface="+mj-ea"/>
              <a:ea typeface="+mj-ea"/>
            </a:rPr>
            <a:t>)</a:t>
          </a:r>
        </a:p>
        <a:p>
          <a:r>
            <a:rPr lang="en-US" altLang="ko-KR" sz="1400">
              <a:latin typeface="+mj-ea"/>
              <a:ea typeface="+mj-ea"/>
            </a:rPr>
            <a:t>3. BugFinderSummaryReport</a:t>
          </a:r>
          <a:r>
            <a:rPr lang="ko-KR" altLang="en-US" sz="1400">
              <a:latin typeface="+mj-ea"/>
              <a:ea typeface="+mj-ea"/>
            </a:rPr>
            <a:t>의 결과물인 </a:t>
          </a:r>
          <a:r>
            <a:rPr lang="en-US" altLang="ko-KR" sz="1400">
              <a:latin typeface="+mj-ea"/>
              <a:ea typeface="+mj-ea"/>
            </a:rPr>
            <a:t>HTML </a:t>
          </a:r>
          <a:r>
            <a:rPr lang="ko-KR" altLang="en-US" sz="1400">
              <a:latin typeface="+mj-ea"/>
              <a:ea typeface="+mj-ea"/>
            </a:rPr>
            <a:t>파일을 열어준다</a:t>
          </a:r>
          <a:r>
            <a:rPr lang="en-US" altLang="ko-KR" sz="1400">
              <a:latin typeface="+mj-ea"/>
              <a:ea typeface="+mj-ea"/>
            </a:rPr>
            <a:t>.</a:t>
          </a:r>
          <a:endParaRPr lang="en-US" altLang="ko-KR" sz="1400" baseline="0">
            <a:latin typeface="+mj-ea"/>
            <a:ea typeface="+mj-ea"/>
          </a:endParaRPr>
        </a:p>
        <a:p>
          <a:r>
            <a:rPr lang="en-US" altLang="ko-KR" sz="1400" baseline="0">
              <a:latin typeface="+mj-ea"/>
              <a:ea typeface="+mj-ea"/>
            </a:rPr>
            <a:t>4. </a:t>
          </a:r>
          <a:r>
            <a:rPr lang="en-US" altLang="ko-KR" sz="14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BugFinderReport</a:t>
          </a:r>
          <a:r>
            <a:rPr lang="ko-KR" altLang="ko-KR" sz="14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의 결과물인 </a:t>
          </a:r>
          <a:r>
            <a:rPr lang="en-US" altLang="ko-KR" sz="14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HTML </a:t>
          </a:r>
          <a:r>
            <a:rPr lang="ko-KR" altLang="ko-KR" sz="1400">
              <a:solidFill>
                <a:schemeClr val="dk1"/>
              </a:solidFill>
              <a:effectLst/>
              <a:latin typeface="+mj-ea"/>
              <a:ea typeface="+mj-ea"/>
              <a:cs typeface="+mn-cs"/>
            </a:rPr>
            <a:t>파일을 열어준다</a:t>
          </a:r>
          <a:r>
            <a:rPr lang="en-US" altLang="ko-KR" sz="1400" baseline="0">
              <a:latin typeface="+mj-ea"/>
              <a:ea typeface="+mj-ea"/>
            </a:rPr>
            <a:t>.</a:t>
          </a:r>
        </a:p>
        <a:p>
          <a:r>
            <a:rPr lang="en-US" altLang="ko-KR" sz="1400" baseline="0">
              <a:latin typeface="+mj-ea"/>
              <a:ea typeface="+mj-ea"/>
            </a:rPr>
            <a:t>5. </a:t>
          </a:r>
          <a:r>
            <a:rPr lang="ko-KR" altLang="en-US" sz="1400" baseline="0">
              <a:latin typeface="+mj-ea"/>
              <a:ea typeface="+mj-ea"/>
            </a:rPr>
            <a:t>해당 툴이 있는곳에 결과 파일 </a:t>
          </a:r>
          <a:r>
            <a:rPr lang="en-US" altLang="ko-KR" sz="1400" baseline="0">
              <a:latin typeface="+mj-ea"/>
              <a:ea typeface="+mj-ea"/>
            </a:rPr>
            <a:t>'</a:t>
          </a:r>
          <a:r>
            <a:rPr lang="ko-KR" altLang="en-US" sz="1400" baseline="0">
              <a:latin typeface="+mj-ea"/>
              <a:ea typeface="+mj-ea"/>
            </a:rPr>
            <a:t>보안코딩성적</a:t>
          </a:r>
          <a:r>
            <a:rPr lang="en-US" altLang="ko-KR" sz="1400" baseline="0">
              <a:latin typeface="+mj-ea"/>
              <a:ea typeface="+mj-ea"/>
            </a:rPr>
            <a:t>_&lt;User</a:t>
          </a:r>
          <a:r>
            <a:rPr lang="ko-KR" altLang="en-US" sz="1400" baseline="0">
              <a:latin typeface="+mj-ea"/>
              <a:ea typeface="+mj-ea"/>
            </a:rPr>
            <a:t>입력</a:t>
          </a:r>
          <a:r>
            <a:rPr lang="en-US" altLang="ko-KR" sz="1400" baseline="0">
              <a:latin typeface="+mj-ea"/>
              <a:ea typeface="+mj-ea"/>
            </a:rPr>
            <a:t>&gt;.xlsm </a:t>
          </a:r>
          <a:r>
            <a:rPr lang="ko-KR" altLang="en-US" sz="1400" baseline="0">
              <a:latin typeface="+mj-ea"/>
              <a:ea typeface="+mj-ea"/>
            </a:rPr>
            <a:t>이 저장된다</a:t>
          </a:r>
          <a:r>
            <a:rPr lang="en-US" altLang="ko-KR" sz="1400" baseline="0">
              <a:latin typeface="+mj-ea"/>
              <a:ea typeface="+mj-ea"/>
            </a:rPr>
            <a:t>.</a:t>
          </a:r>
        </a:p>
        <a:p>
          <a:endParaRPr lang="en-US" altLang="ko-KR" sz="1400" baseline="0">
            <a:latin typeface="+mj-ea"/>
            <a:ea typeface="+mj-ea"/>
          </a:endParaRPr>
        </a:p>
        <a:p>
          <a:endParaRPr lang="en-US" altLang="ko-KR" sz="1400" baseline="0">
            <a:latin typeface="+mj-ea"/>
            <a:ea typeface="+mj-ea"/>
          </a:endParaRPr>
        </a:p>
        <a:p>
          <a:endParaRPr lang="en-US" altLang="ko-KR" sz="1400" baseline="0">
            <a:latin typeface="+mj-ea"/>
            <a:ea typeface="+mj-ea"/>
          </a:endParaRPr>
        </a:p>
        <a:p>
          <a:endParaRPr lang="en-US" altLang="ko-KR" sz="1400" baseline="0">
            <a:latin typeface="+mj-ea"/>
            <a:ea typeface="+mj-ea"/>
          </a:endParaRPr>
        </a:p>
        <a:p>
          <a:endParaRPr lang="en-US" altLang="ko-KR" sz="1400" baseline="0">
            <a:latin typeface="+mj-ea"/>
            <a:ea typeface="+mj-ea"/>
          </a:endParaRPr>
        </a:p>
        <a:p>
          <a:endParaRPr lang="en-US" altLang="ko-KR" sz="1400" baseline="0">
            <a:latin typeface="+mj-ea"/>
            <a:ea typeface="+mj-ea"/>
          </a:endParaRPr>
        </a:p>
        <a:p>
          <a:endParaRPr lang="en-US" altLang="ko-KR" sz="1400" baseline="0">
            <a:latin typeface="+mj-ea"/>
            <a:ea typeface="+mj-ea"/>
          </a:endParaRPr>
        </a:p>
        <a:p>
          <a:endParaRPr lang="en-US" altLang="ko-KR" sz="1400" baseline="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C936-412C-4E83-B323-45B2E0F29A91}">
  <sheetPr codeName="Sheet6"/>
  <dimension ref="A1"/>
  <sheetViews>
    <sheetView workbookViewId="0">
      <selection activeCell="S26" sqref="S26"/>
    </sheetView>
  </sheetViews>
  <sheetFormatPr defaultRowHeight="16.5"/>
  <sheetData/>
  <phoneticPr fontId="1" type="noConversion"/>
  <pageMargins left="0.7" right="0.7" top="0.75" bottom="0.75" header="0.3" footer="0.3"/>
  <pageSetup paperSize="9" orientation="portrait" r:id="rId1"/>
  <headerFooter>
    <oddFooter>&amp;L_x000D_&amp;1#&amp;"Calibri"&amp;10&amp;K000000 본 문서는 현대자동차·기아의 정보자산으로 귀사와의 비밀유지계약 및 제반법률에 따라 법적 보호를 받습니다.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매크로1">
                <anchor moveWithCells="1" siz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3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D507-6C7D-45CC-A192-6728430222B2}">
  <sheetPr codeName="Sheet1"/>
  <dimension ref="A1:E95"/>
  <sheetViews>
    <sheetView tabSelected="1" topLeftCell="A61" zoomScale="85" zoomScaleNormal="85" workbookViewId="0">
      <selection activeCell="E81" sqref="E81"/>
    </sheetView>
  </sheetViews>
  <sheetFormatPr defaultRowHeight="16.5"/>
  <cols>
    <col min="1" max="1" width="9" style="4"/>
    <col min="2" max="2" width="135.875" customWidth="1"/>
    <col min="3" max="3" width="16.625" bestFit="1" customWidth="1"/>
    <col min="5" max="5" width="11.625" style="4" bestFit="1" customWidth="1"/>
  </cols>
  <sheetData>
    <row r="1" spans="1:5">
      <c r="A1" s="12" t="s">
        <v>186</v>
      </c>
      <c r="B1" s="12" t="s">
        <v>185</v>
      </c>
      <c r="C1" s="12" t="s">
        <v>184</v>
      </c>
      <c r="D1" s="12" t="s">
        <v>183</v>
      </c>
      <c r="E1" s="11" t="s">
        <v>750</v>
      </c>
    </row>
    <row r="2" spans="1:5">
      <c r="A2" s="8" t="s">
        <v>564</v>
      </c>
      <c r="B2" s="1" t="s">
        <v>182</v>
      </c>
      <c r="C2" s="8" t="s">
        <v>0</v>
      </c>
      <c r="D2" s="8">
        <v>0</v>
      </c>
      <c r="E2" s="8"/>
    </row>
    <row r="3" spans="1:5">
      <c r="A3" s="8" t="s">
        <v>181</v>
      </c>
      <c r="B3" s="1" t="s">
        <v>180</v>
      </c>
      <c r="C3" s="8" t="s">
        <v>0</v>
      </c>
      <c r="D3" s="8">
        <v>0</v>
      </c>
      <c r="E3" s="8"/>
    </row>
    <row r="4" spans="1:5">
      <c r="A4" s="8" t="s">
        <v>179</v>
      </c>
      <c r="B4" s="1" t="s">
        <v>178</v>
      </c>
      <c r="C4" s="8" t="s">
        <v>0</v>
      </c>
      <c r="D4" s="8">
        <v>0</v>
      </c>
      <c r="E4" s="8"/>
    </row>
    <row r="5" spans="1:5">
      <c r="A5" s="8" t="s">
        <v>177</v>
      </c>
      <c r="B5" s="1" t="s">
        <v>176</v>
      </c>
      <c r="C5" s="8" t="s">
        <v>0</v>
      </c>
      <c r="D5" s="8">
        <v>0</v>
      </c>
      <c r="E5" s="8"/>
    </row>
    <row r="6" spans="1:5">
      <c r="A6" s="8" t="s">
        <v>175</v>
      </c>
      <c r="B6" s="1" t="s">
        <v>174</v>
      </c>
      <c r="C6" s="8" t="s">
        <v>0</v>
      </c>
      <c r="D6" s="8">
        <v>0</v>
      </c>
      <c r="E6" s="8"/>
    </row>
    <row r="7" spans="1:5">
      <c r="A7" s="8" t="s">
        <v>173</v>
      </c>
      <c r="B7" s="1" t="s">
        <v>172</v>
      </c>
      <c r="C7" s="8" t="s">
        <v>0</v>
      </c>
      <c r="D7" s="8">
        <v>0</v>
      </c>
      <c r="E7" s="8"/>
    </row>
    <row r="8" spans="1:5">
      <c r="A8" s="8" t="s">
        <v>171</v>
      </c>
      <c r="B8" s="1" t="s">
        <v>170</v>
      </c>
      <c r="C8" s="8" t="s">
        <v>0</v>
      </c>
      <c r="D8" s="8">
        <v>0</v>
      </c>
      <c r="E8" s="8"/>
    </row>
    <row r="9" spans="1:5">
      <c r="A9" s="8" t="s">
        <v>169</v>
      </c>
      <c r="B9" s="1" t="s">
        <v>168</v>
      </c>
      <c r="C9" s="8" t="s">
        <v>0</v>
      </c>
      <c r="D9" s="8">
        <v>0</v>
      </c>
      <c r="E9" s="8"/>
    </row>
    <row r="10" spans="1:5">
      <c r="A10" s="8" t="s">
        <v>167</v>
      </c>
      <c r="B10" s="1" t="s">
        <v>166</v>
      </c>
      <c r="C10" s="8" t="s">
        <v>0</v>
      </c>
      <c r="D10" s="8">
        <v>0</v>
      </c>
      <c r="E10" s="8"/>
    </row>
    <row r="11" spans="1:5">
      <c r="A11" s="8" t="s">
        <v>165</v>
      </c>
      <c r="B11" s="1" t="s">
        <v>164</v>
      </c>
      <c r="C11" s="8" t="s">
        <v>0</v>
      </c>
      <c r="D11" s="8">
        <v>0</v>
      </c>
      <c r="E11" s="8"/>
    </row>
    <row r="12" spans="1:5">
      <c r="A12" s="8" t="s">
        <v>767</v>
      </c>
      <c r="B12" s="1" t="s">
        <v>771</v>
      </c>
      <c r="C12" s="8" t="s">
        <v>770</v>
      </c>
      <c r="D12" s="8">
        <v>0</v>
      </c>
      <c r="E12" s="8"/>
    </row>
    <row r="13" spans="1:5">
      <c r="A13" s="8" t="s">
        <v>163</v>
      </c>
      <c r="B13" s="1" t="s">
        <v>162</v>
      </c>
      <c r="C13" s="8" t="s">
        <v>0</v>
      </c>
      <c r="D13" s="8">
        <v>0</v>
      </c>
      <c r="E13" s="8"/>
    </row>
    <row r="14" spans="1:5">
      <c r="A14" s="8" t="s">
        <v>161</v>
      </c>
      <c r="B14" s="1" t="s">
        <v>160</v>
      </c>
      <c r="C14" s="8" t="s">
        <v>0</v>
      </c>
      <c r="D14" s="8">
        <v>0</v>
      </c>
      <c r="E14" s="8"/>
    </row>
    <row r="15" spans="1:5">
      <c r="A15" s="8" t="s">
        <v>159</v>
      </c>
      <c r="B15" s="1" t="s">
        <v>158</v>
      </c>
      <c r="C15" s="8" t="s">
        <v>0</v>
      </c>
      <c r="D15" s="8">
        <v>0</v>
      </c>
      <c r="E15" s="8"/>
    </row>
    <row r="16" spans="1:5">
      <c r="A16" s="8" t="s">
        <v>768</v>
      </c>
      <c r="B16" s="1" t="s">
        <v>772</v>
      </c>
      <c r="C16" s="8" t="s">
        <v>770</v>
      </c>
      <c r="D16" s="8">
        <v>0</v>
      </c>
      <c r="E16" s="8"/>
    </row>
    <row r="17" spans="1:5">
      <c r="A17" s="8" t="s">
        <v>157</v>
      </c>
      <c r="B17" s="1" t="s">
        <v>156</v>
      </c>
      <c r="C17" s="8" t="s">
        <v>0</v>
      </c>
      <c r="D17" s="8">
        <v>0</v>
      </c>
      <c r="E17" s="8"/>
    </row>
    <row r="18" spans="1:5">
      <c r="A18" s="8" t="s">
        <v>155</v>
      </c>
      <c r="B18" s="1" t="s">
        <v>154</v>
      </c>
      <c r="C18" s="8" t="s">
        <v>0</v>
      </c>
      <c r="D18" s="8">
        <v>0</v>
      </c>
      <c r="E18" s="8"/>
    </row>
    <row r="19" spans="1:5">
      <c r="A19" s="8" t="s">
        <v>153</v>
      </c>
      <c r="B19" s="1" t="s">
        <v>152</v>
      </c>
      <c r="C19" s="8" t="s">
        <v>0</v>
      </c>
      <c r="D19" s="8">
        <v>0</v>
      </c>
      <c r="E19" s="8"/>
    </row>
    <row r="20" spans="1:5">
      <c r="A20" s="8" t="s">
        <v>151</v>
      </c>
      <c r="B20" s="1" t="s">
        <v>150</v>
      </c>
      <c r="C20" s="8" t="s">
        <v>0</v>
      </c>
      <c r="D20" s="8">
        <v>0</v>
      </c>
      <c r="E20" s="8"/>
    </row>
    <row r="21" spans="1:5">
      <c r="A21" s="8" t="s">
        <v>149</v>
      </c>
      <c r="B21" s="1" t="s">
        <v>148</v>
      </c>
      <c r="C21" s="8" t="s">
        <v>0</v>
      </c>
      <c r="D21" s="8">
        <v>0</v>
      </c>
      <c r="E21" s="8"/>
    </row>
    <row r="22" spans="1:5">
      <c r="A22" s="8" t="s">
        <v>147</v>
      </c>
      <c r="B22" s="1" t="s">
        <v>146</v>
      </c>
      <c r="C22" s="8" t="s">
        <v>0</v>
      </c>
      <c r="D22" s="8">
        <v>0</v>
      </c>
      <c r="E22" s="8"/>
    </row>
    <row r="23" spans="1:5">
      <c r="A23" s="8" t="s">
        <v>145</v>
      </c>
      <c r="B23" s="1" t="s">
        <v>144</v>
      </c>
      <c r="C23" s="8" t="s">
        <v>0</v>
      </c>
      <c r="D23" s="8">
        <v>0</v>
      </c>
      <c r="E23" s="8"/>
    </row>
    <row r="24" spans="1:5">
      <c r="A24" s="8" t="s">
        <v>143</v>
      </c>
      <c r="B24" s="1" t="s">
        <v>142</v>
      </c>
      <c r="C24" s="8" t="s">
        <v>0</v>
      </c>
      <c r="D24" s="8">
        <v>0</v>
      </c>
      <c r="E24" s="8"/>
    </row>
    <row r="25" spans="1:5">
      <c r="A25" s="8" t="s">
        <v>141</v>
      </c>
      <c r="B25" s="1" t="s">
        <v>140</v>
      </c>
      <c r="C25" s="8" t="s">
        <v>0</v>
      </c>
      <c r="D25" s="8">
        <v>0</v>
      </c>
      <c r="E25" s="8"/>
    </row>
    <row r="26" spans="1:5">
      <c r="A26" s="8" t="s">
        <v>139</v>
      </c>
      <c r="B26" s="1" t="s">
        <v>138</v>
      </c>
      <c r="C26" s="8" t="s">
        <v>0</v>
      </c>
      <c r="D26" s="8">
        <v>0</v>
      </c>
      <c r="E26" s="8"/>
    </row>
    <row r="27" spans="1:5">
      <c r="A27" s="8" t="s">
        <v>137</v>
      </c>
      <c r="B27" s="1" t="s">
        <v>136</v>
      </c>
      <c r="C27" s="8" t="s">
        <v>0</v>
      </c>
      <c r="D27" s="8">
        <v>0</v>
      </c>
      <c r="E27" s="8"/>
    </row>
    <row r="28" spans="1:5">
      <c r="A28" s="8" t="s">
        <v>135</v>
      </c>
      <c r="B28" s="1" t="s">
        <v>134</v>
      </c>
      <c r="C28" s="8" t="s">
        <v>0</v>
      </c>
      <c r="D28" s="8">
        <v>0</v>
      </c>
      <c r="E28" s="8"/>
    </row>
    <row r="29" spans="1:5">
      <c r="A29" s="8" t="s">
        <v>133</v>
      </c>
      <c r="B29" s="1" t="s">
        <v>132</v>
      </c>
      <c r="C29" s="8" t="s">
        <v>0</v>
      </c>
      <c r="D29" s="8">
        <v>0</v>
      </c>
      <c r="E29" s="8"/>
    </row>
    <row r="30" spans="1:5">
      <c r="A30" s="8" t="s">
        <v>131</v>
      </c>
      <c r="B30" s="1" t="s">
        <v>130</v>
      </c>
      <c r="C30" s="8" t="s">
        <v>0</v>
      </c>
      <c r="D30" s="8">
        <v>0</v>
      </c>
      <c r="E30" s="8"/>
    </row>
    <row r="31" spans="1:5">
      <c r="A31" s="8" t="s">
        <v>129</v>
      </c>
      <c r="B31" s="1" t="s">
        <v>128</v>
      </c>
      <c r="C31" s="8" t="s">
        <v>0</v>
      </c>
      <c r="D31" s="8">
        <v>0</v>
      </c>
      <c r="E31" s="8"/>
    </row>
    <row r="32" spans="1:5">
      <c r="A32" s="8" t="s">
        <v>127</v>
      </c>
      <c r="B32" s="1" t="s">
        <v>126</v>
      </c>
      <c r="C32" s="8" t="s">
        <v>0</v>
      </c>
      <c r="D32" s="8">
        <v>0</v>
      </c>
      <c r="E32" s="8"/>
    </row>
    <row r="33" spans="1:5">
      <c r="A33" s="8" t="s">
        <v>125</v>
      </c>
      <c r="B33" s="1" t="s">
        <v>124</v>
      </c>
      <c r="C33" s="8" t="s">
        <v>75</v>
      </c>
      <c r="D33" s="8">
        <v>0</v>
      </c>
      <c r="E33" s="8"/>
    </row>
    <row r="34" spans="1:5">
      <c r="A34" s="8" t="s">
        <v>123</v>
      </c>
      <c r="B34" s="1" t="s">
        <v>122</v>
      </c>
      <c r="C34" s="8" t="s">
        <v>0</v>
      </c>
      <c r="D34" s="8">
        <v>0</v>
      </c>
      <c r="E34" s="8"/>
    </row>
    <row r="35" spans="1:5">
      <c r="A35" s="8" t="s">
        <v>121</v>
      </c>
      <c r="B35" s="1" t="s">
        <v>120</v>
      </c>
      <c r="C35" s="8" t="s">
        <v>0</v>
      </c>
      <c r="D35" s="8">
        <v>0</v>
      </c>
      <c r="E35" s="8"/>
    </row>
    <row r="36" spans="1:5">
      <c r="A36" s="8" t="s">
        <v>119</v>
      </c>
      <c r="B36" s="1" t="s">
        <v>118</v>
      </c>
      <c r="C36" s="8" t="s">
        <v>0</v>
      </c>
      <c r="D36" s="8">
        <v>0</v>
      </c>
      <c r="E36" s="8"/>
    </row>
    <row r="37" spans="1:5">
      <c r="A37" s="8" t="s">
        <v>117</v>
      </c>
      <c r="B37" s="1" t="s">
        <v>116</v>
      </c>
      <c r="C37" s="8" t="s">
        <v>0</v>
      </c>
      <c r="D37" s="8">
        <v>0</v>
      </c>
      <c r="E37" s="8"/>
    </row>
    <row r="38" spans="1:5">
      <c r="A38" s="8" t="s">
        <v>115</v>
      </c>
      <c r="B38" s="1" t="s">
        <v>114</v>
      </c>
      <c r="C38" s="8" t="s">
        <v>0</v>
      </c>
      <c r="D38" s="8">
        <v>0</v>
      </c>
      <c r="E38" s="8"/>
    </row>
    <row r="39" spans="1:5">
      <c r="A39" s="8" t="s">
        <v>113</v>
      </c>
      <c r="B39" s="1" t="s">
        <v>112</v>
      </c>
      <c r="C39" s="8" t="s">
        <v>0</v>
      </c>
      <c r="D39" s="8">
        <v>0</v>
      </c>
      <c r="E39" s="8"/>
    </row>
    <row r="40" spans="1:5">
      <c r="A40" s="8" t="s">
        <v>111</v>
      </c>
      <c r="B40" s="1" t="s">
        <v>110</v>
      </c>
      <c r="C40" s="8" t="s">
        <v>0</v>
      </c>
      <c r="D40" s="8">
        <v>0</v>
      </c>
      <c r="E40" s="8"/>
    </row>
    <row r="41" spans="1:5">
      <c r="A41" s="8" t="s">
        <v>109</v>
      </c>
      <c r="B41" s="1" t="s">
        <v>108</v>
      </c>
      <c r="C41" s="8" t="s">
        <v>0</v>
      </c>
      <c r="D41" s="8">
        <v>0</v>
      </c>
      <c r="E41" s="8"/>
    </row>
    <row r="42" spans="1:5">
      <c r="A42" s="8" t="s">
        <v>107</v>
      </c>
      <c r="B42" s="1" t="s">
        <v>106</v>
      </c>
      <c r="C42" s="8" t="s">
        <v>0</v>
      </c>
      <c r="D42" s="8">
        <v>0</v>
      </c>
      <c r="E42" s="8"/>
    </row>
    <row r="43" spans="1:5">
      <c r="A43" s="8" t="s">
        <v>105</v>
      </c>
      <c r="B43" s="1" t="s">
        <v>104</v>
      </c>
      <c r="C43" s="8" t="s">
        <v>0</v>
      </c>
      <c r="D43" s="8">
        <v>0</v>
      </c>
      <c r="E43" s="8"/>
    </row>
    <row r="44" spans="1:5">
      <c r="A44" s="8" t="s">
        <v>103</v>
      </c>
      <c r="B44" s="1" t="s">
        <v>102</v>
      </c>
      <c r="C44" s="8" t="s">
        <v>0</v>
      </c>
      <c r="D44" s="8">
        <v>0</v>
      </c>
      <c r="E44" s="8"/>
    </row>
    <row r="45" spans="1:5">
      <c r="A45" s="8" t="s">
        <v>101</v>
      </c>
      <c r="B45" s="1" t="s">
        <v>100</v>
      </c>
      <c r="C45" s="8" t="s">
        <v>0</v>
      </c>
      <c r="D45" s="8">
        <v>0</v>
      </c>
      <c r="E45" s="8"/>
    </row>
    <row r="46" spans="1:5">
      <c r="A46" s="8" t="s">
        <v>99</v>
      </c>
      <c r="B46" s="1" t="s">
        <v>98</v>
      </c>
      <c r="C46" s="8" t="s">
        <v>0</v>
      </c>
      <c r="D46" s="8">
        <v>0</v>
      </c>
      <c r="E46" s="8"/>
    </row>
    <row r="47" spans="1:5">
      <c r="A47" s="8" t="s">
        <v>97</v>
      </c>
      <c r="B47" s="1" t="s">
        <v>96</v>
      </c>
      <c r="C47" s="8" t="s">
        <v>0</v>
      </c>
      <c r="D47" s="8">
        <v>0</v>
      </c>
      <c r="E47" s="8"/>
    </row>
    <row r="48" spans="1:5">
      <c r="A48" s="8" t="s">
        <v>95</v>
      </c>
      <c r="B48" s="1" t="s">
        <v>94</v>
      </c>
      <c r="C48" s="8" t="s">
        <v>0</v>
      </c>
      <c r="D48" s="8">
        <v>0</v>
      </c>
      <c r="E48" s="8"/>
    </row>
    <row r="49" spans="1:5">
      <c r="A49" s="8" t="s">
        <v>93</v>
      </c>
      <c r="B49" s="1" t="s">
        <v>92</v>
      </c>
      <c r="C49" s="8" t="s">
        <v>0</v>
      </c>
      <c r="D49" s="8">
        <v>0</v>
      </c>
      <c r="E49" s="8"/>
    </row>
    <row r="50" spans="1:5">
      <c r="A50" s="8" t="s">
        <v>91</v>
      </c>
      <c r="B50" s="1" t="s">
        <v>90</v>
      </c>
      <c r="C50" s="8" t="s">
        <v>0</v>
      </c>
      <c r="D50" s="8">
        <v>0</v>
      </c>
      <c r="E50" s="8"/>
    </row>
    <row r="51" spans="1:5">
      <c r="A51" s="8" t="s">
        <v>89</v>
      </c>
      <c r="B51" s="1" t="s">
        <v>88</v>
      </c>
      <c r="C51" s="8" t="s">
        <v>0</v>
      </c>
      <c r="D51" s="8">
        <v>0</v>
      </c>
      <c r="E51" s="8"/>
    </row>
    <row r="52" spans="1:5">
      <c r="A52" s="8" t="s">
        <v>87</v>
      </c>
      <c r="B52" s="1" t="s">
        <v>86</v>
      </c>
      <c r="C52" s="8" t="s">
        <v>0</v>
      </c>
      <c r="D52" s="8">
        <v>0</v>
      </c>
      <c r="E52" s="8"/>
    </row>
    <row r="53" spans="1:5">
      <c r="A53" s="8" t="s">
        <v>85</v>
      </c>
      <c r="B53" s="1" t="s">
        <v>84</v>
      </c>
      <c r="C53" s="8" t="s">
        <v>0</v>
      </c>
      <c r="D53" s="8">
        <v>0</v>
      </c>
      <c r="E53" s="8"/>
    </row>
    <row r="54" spans="1:5">
      <c r="A54" s="8" t="s">
        <v>83</v>
      </c>
      <c r="B54" s="1" t="s">
        <v>82</v>
      </c>
      <c r="C54" s="8" t="s">
        <v>0</v>
      </c>
      <c r="D54" s="8">
        <v>0</v>
      </c>
      <c r="E54" s="8"/>
    </row>
    <row r="55" spans="1:5">
      <c r="A55" s="8" t="s">
        <v>81</v>
      </c>
      <c r="B55" s="1" t="s">
        <v>80</v>
      </c>
      <c r="C55" s="8" t="s">
        <v>0</v>
      </c>
      <c r="D55" s="8">
        <v>0</v>
      </c>
      <c r="E55" s="8"/>
    </row>
    <row r="56" spans="1:5">
      <c r="A56" s="8" t="s">
        <v>79</v>
      </c>
      <c r="B56" s="1" t="s">
        <v>78</v>
      </c>
      <c r="C56" s="8" t="s">
        <v>0</v>
      </c>
      <c r="D56" s="8">
        <v>0</v>
      </c>
      <c r="E56" s="8"/>
    </row>
    <row r="57" spans="1:5">
      <c r="A57" s="8" t="s">
        <v>77</v>
      </c>
      <c r="B57" s="1" t="s">
        <v>76</v>
      </c>
      <c r="C57" s="8" t="s">
        <v>75</v>
      </c>
      <c r="D57" s="8">
        <v>0</v>
      </c>
      <c r="E57" s="8"/>
    </row>
    <row r="58" spans="1:5">
      <c r="A58" s="8" t="s">
        <v>74</v>
      </c>
      <c r="B58" s="1" t="s">
        <v>73</v>
      </c>
      <c r="C58" s="8" t="s">
        <v>0</v>
      </c>
      <c r="D58" s="8">
        <v>0</v>
      </c>
      <c r="E58" s="8"/>
    </row>
    <row r="59" spans="1:5">
      <c r="A59" s="8" t="s">
        <v>72</v>
      </c>
      <c r="B59" s="1" t="s">
        <v>71</v>
      </c>
      <c r="C59" s="8" t="s">
        <v>0</v>
      </c>
      <c r="D59" s="8">
        <v>0</v>
      </c>
      <c r="E59" s="8"/>
    </row>
    <row r="60" spans="1:5">
      <c r="A60" s="8" t="s">
        <v>70</v>
      </c>
      <c r="B60" s="1" t="s">
        <v>69</v>
      </c>
      <c r="C60" s="8" t="s">
        <v>0</v>
      </c>
      <c r="D60" s="8">
        <v>0</v>
      </c>
      <c r="E60" s="8"/>
    </row>
    <row r="61" spans="1:5">
      <c r="A61" s="8" t="s">
        <v>68</v>
      </c>
      <c r="B61" s="1" t="s">
        <v>67</v>
      </c>
      <c r="C61" s="8" t="s">
        <v>0</v>
      </c>
      <c r="D61" s="8">
        <v>0</v>
      </c>
      <c r="E61" s="8"/>
    </row>
    <row r="62" spans="1:5">
      <c r="A62" s="8" t="s">
        <v>66</v>
      </c>
      <c r="B62" s="1" t="s">
        <v>65</v>
      </c>
      <c r="C62" s="8" t="s">
        <v>0</v>
      </c>
      <c r="D62" s="8">
        <v>0</v>
      </c>
      <c r="E62" s="8"/>
    </row>
    <row r="63" spans="1:5">
      <c r="A63" s="8" t="s">
        <v>64</v>
      </c>
      <c r="B63" s="1" t="s">
        <v>63</v>
      </c>
      <c r="C63" s="8" t="s">
        <v>0</v>
      </c>
      <c r="D63" s="8">
        <v>0</v>
      </c>
      <c r="E63" s="8"/>
    </row>
    <row r="64" spans="1:5">
      <c r="A64" s="8" t="s">
        <v>62</v>
      </c>
      <c r="B64" s="1" t="s">
        <v>61</v>
      </c>
      <c r="C64" s="8" t="s">
        <v>0</v>
      </c>
      <c r="D64" s="8">
        <v>0</v>
      </c>
      <c r="E64" s="8"/>
    </row>
    <row r="65" spans="1:5">
      <c r="A65" s="8" t="s">
        <v>60</v>
      </c>
      <c r="B65" s="1" t="s">
        <v>59</v>
      </c>
      <c r="C65" s="8" t="s">
        <v>0</v>
      </c>
      <c r="D65" s="8">
        <v>0</v>
      </c>
      <c r="E65" s="8"/>
    </row>
    <row r="66" spans="1:5">
      <c r="A66" s="8" t="s">
        <v>58</v>
      </c>
      <c r="B66" s="1" t="s">
        <v>57</v>
      </c>
      <c r="C66" s="8" t="s">
        <v>0</v>
      </c>
      <c r="D66" s="8">
        <v>0</v>
      </c>
      <c r="E66" s="8"/>
    </row>
    <row r="67" spans="1:5">
      <c r="A67" s="8" t="s">
        <v>56</v>
      </c>
      <c r="B67" s="1" t="s">
        <v>55</v>
      </c>
      <c r="C67" s="8" t="s">
        <v>0</v>
      </c>
      <c r="D67" s="8">
        <v>0</v>
      </c>
      <c r="E67" s="8"/>
    </row>
    <row r="68" spans="1:5">
      <c r="A68" s="8" t="s">
        <v>54</v>
      </c>
      <c r="B68" s="1" t="s">
        <v>53</v>
      </c>
      <c r="C68" s="8" t="s">
        <v>0</v>
      </c>
      <c r="D68" s="8">
        <v>0</v>
      </c>
      <c r="E68" s="8"/>
    </row>
    <row r="69" spans="1:5">
      <c r="A69" s="8" t="s">
        <v>52</v>
      </c>
      <c r="B69" s="1" t="s">
        <v>51</v>
      </c>
      <c r="C69" s="8" t="s">
        <v>0</v>
      </c>
      <c r="D69" s="8">
        <v>0</v>
      </c>
      <c r="E69" s="8"/>
    </row>
    <row r="70" spans="1:5">
      <c r="A70" s="8" t="s">
        <v>50</v>
      </c>
      <c r="B70" s="1" t="s">
        <v>49</v>
      </c>
      <c r="C70" s="8" t="s">
        <v>0</v>
      </c>
      <c r="D70" s="8">
        <v>0</v>
      </c>
      <c r="E70" s="8"/>
    </row>
    <row r="71" spans="1:5">
      <c r="A71" s="8" t="s">
        <v>48</v>
      </c>
      <c r="B71" s="1" t="s">
        <v>47</v>
      </c>
      <c r="C71" s="8" t="s">
        <v>0</v>
      </c>
      <c r="D71" s="8">
        <v>0</v>
      </c>
      <c r="E71" s="8"/>
    </row>
    <row r="72" spans="1:5">
      <c r="A72" s="8" t="s">
        <v>46</v>
      </c>
      <c r="B72" s="1" t="s">
        <v>45</v>
      </c>
      <c r="C72" s="8" t="s">
        <v>0</v>
      </c>
      <c r="D72" s="8">
        <v>0</v>
      </c>
      <c r="E72" s="8"/>
    </row>
    <row r="73" spans="1:5">
      <c r="A73" s="8" t="s">
        <v>44</v>
      </c>
      <c r="B73" s="1" t="s">
        <v>43</v>
      </c>
      <c r="C73" s="8" t="s">
        <v>0</v>
      </c>
      <c r="D73" s="8">
        <v>0</v>
      </c>
      <c r="E73" s="8"/>
    </row>
    <row r="74" spans="1:5">
      <c r="A74" s="8" t="s">
        <v>42</v>
      </c>
      <c r="B74" s="1" t="s">
        <v>41</v>
      </c>
      <c r="C74" s="8" t="s">
        <v>0</v>
      </c>
      <c r="D74" s="8">
        <v>0</v>
      </c>
      <c r="E74" s="8"/>
    </row>
    <row r="75" spans="1:5">
      <c r="A75" s="8" t="s">
        <v>40</v>
      </c>
      <c r="B75" s="1" t="s">
        <v>39</v>
      </c>
      <c r="C75" s="8" t="s">
        <v>0</v>
      </c>
      <c r="D75" s="8">
        <v>0</v>
      </c>
      <c r="E75" s="8"/>
    </row>
    <row r="76" spans="1:5">
      <c r="A76" s="8" t="s">
        <v>38</v>
      </c>
      <c r="B76" s="1" t="s">
        <v>37</v>
      </c>
      <c r="C76" s="8" t="s">
        <v>0</v>
      </c>
      <c r="D76" s="8">
        <v>0</v>
      </c>
      <c r="E76" s="8"/>
    </row>
    <row r="77" spans="1:5">
      <c r="A77" s="8" t="s">
        <v>36</v>
      </c>
      <c r="B77" s="1" t="s">
        <v>35</v>
      </c>
      <c r="C77" s="8" t="s">
        <v>0</v>
      </c>
      <c r="D77" s="8">
        <v>0</v>
      </c>
      <c r="E77" s="8"/>
    </row>
    <row r="78" spans="1:5">
      <c r="A78" s="8" t="s">
        <v>34</v>
      </c>
      <c r="B78" s="1" t="s">
        <v>33</v>
      </c>
      <c r="C78" s="8" t="s">
        <v>0</v>
      </c>
      <c r="D78" s="8">
        <v>0</v>
      </c>
      <c r="E78" s="8"/>
    </row>
    <row r="79" spans="1:5">
      <c r="A79" s="8" t="s">
        <v>32</v>
      </c>
      <c r="B79" s="1" t="s">
        <v>31</v>
      </c>
      <c r="C79" s="8" t="s">
        <v>0</v>
      </c>
      <c r="D79" s="8">
        <v>0</v>
      </c>
      <c r="E79" s="8"/>
    </row>
    <row r="80" spans="1:5">
      <c r="A80" s="8" t="s">
        <v>30</v>
      </c>
      <c r="B80" s="1" t="s">
        <v>29</v>
      </c>
      <c r="C80" s="8" t="s">
        <v>0</v>
      </c>
      <c r="D80" s="8">
        <v>0</v>
      </c>
      <c r="E80" s="8"/>
    </row>
    <row r="81" spans="1:5">
      <c r="A81" s="8" t="s">
        <v>28</v>
      </c>
      <c r="B81" s="1" t="s">
        <v>27</v>
      </c>
      <c r="C81" s="8" t="s">
        <v>0</v>
      </c>
      <c r="D81" s="8">
        <v>0</v>
      </c>
      <c r="E81" s="8"/>
    </row>
    <row r="82" spans="1:5">
      <c r="A82" s="8" t="s">
        <v>26</v>
      </c>
      <c r="B82" s="1" t="s">
        <v>25</v>
      </c>
      <c r="C82" s="8" t="s">
        <v>0</v>
      </c>
      <c r="D82" s="8">
        <v>0</v>
      </c>
      <c r="E82" s="8"/>
    </row>
    <row r="83" spans="1:5">
      <c r="A83" s="8" t="s">
        <v>24</v>
      </c>
      <c r="B83" s="1" t="s">
        <v>23</v>
      </c>
      <c r="C83" s="8" t="s">
        <v>0</v>
      </c>
      <c r="D83" s="8">
        <v>0</v>
      </c>
      <c r="E83" s="8"/>
    </row>
    <row r="84" spans="1:5">
      <c r="A84" s="8" t="s">
        <v>22</v>
      </c>
      <c r="B84" s="1" t="s">
        <v>21</v>
      </c>
      <c r="C84" s="8" t="s">
        <v>0</v>
      </c>
      <c r="D84" s="8">
        <v>0</v>
      </c>
      <c r="E84" s="8"/>
    </row>
    <row r="85" spans="1:5">
      <c r="A85" s="8" t="s">
        <v>20</v>
      </c>
      <c r="B85" s="1" t="s">
        <v>19</v>
      </c>
      <c r="C85" s="8" t="s">
        <v>0</v>
      </c>
      <c r="D85" s="8">
        <v>0</v>
      </c>
      <c r="E85" s="8"/>
    </row>
    <row r="86" spans="1:5">
      <c r="A86" s="8" t="s">
        <v>18</v>
      </c>
      <c r="B86" s="1" t="s">
        <v>17</v>
      </c>
      <c r="C86" s="8" t="s">
        <v>0</v>
      </c>
      <c r="D86" s="8">
        <v>0</v>
      </c>
      <c r="E86" s="8"/>
    </row>
    <row r="87" spans="1:5">
      <c r="A87" s="8" t="s">
        <v>16</v>
      </c>
      <c r="B87" s="1" t="s">
        <v>15</v>
      </c>
      <c r="C87" s="8" t="s">
        <v>0</v>
      </c>
      <c r="D87" s="8">
        <v>0</v>
      </c>
      <c r="E87" s="8"/>
    </row>
    <row r="88" spans="1:5">
      <c r="A88" s="8" t="s">
        <v>14</v>
      </c>
      <c r="B88" s="1" t="s">
        <v>13</v>
      </c>
      <c r="C88" s="8" t="s">
        <v>0</v>
      </c>
      <c r="D88" s="8">
        <v>0</v>
      </c>
      <c r="E88" s="8"/>
    </row>
    <row r="89" spans="1:5">
      <c r="A89" s="8" t="s">
        <v>12</v>
      </c>
      <c r="B89" s="1" t="s">
        <v>11</v>
      </c>
      <c r="C89" s="8" t="s">
        <v>0</v>
      </c>
      <c r="D89" s="8">
        <v>0</v>
      </c>
      <c r="E89" s="8"/>
    </row>
    <row r="90" spans="1:5">
      <c r="A90" s="8" t="s">
        <v>10</v>
      </c>
      <c r="B90" s="1" t="s">
        <v>9</v>
      </c>
      <c r="C90" s="8" t="s">
        <v>0</v>
      </c>
      <c r="D90" s="8">
        <v>0</v>
      </c>
      <c r="E90" s="8"/>
    </row>
    <row r="91" spans="1:5">
      <c r="A91" s="8" t="s">
        <v>8</v>
      </c>
      <c r="B91" s="1" t="s">
        <v>7</v>
      </c>
      <c r="C91" s="8" t="s">
        <v>0</v>
      </c>
      <c r="D91" s="8">
        <v>0</v>
      </c>
      <c r="E91" s="8"/>
    </row>
    <row r="92" spans="1:5">
      <c r="A92" s="8" t="s">
        <v>6</v>
      </c>
      <c r="B92" s="1" t="s">
        <v>5</v>
      </c>
      <c r="C92" s="8" t="s">
        <v>0</v>
      </c>
      <c r="D92" s="8">
        <v>0</v>
      </c>
      <c r="E92" s="8"/>
    </row>
    <row r="93" spans="1:5">
      <c r="A93" s="8" t="s">
        <v>4</v>
      </c>
      <c r="B93" s="1" t="s">
        <v>3</v>
      </c>
      <c r="C93" s="8" t="s">
        <v>0</v>
      </c>
      <c r="D93" s="8">
        <v>0</v>
      </c>
      <c r="E93" s="8"/>
    </row>
    <row r="94" spans="1:5">
      <c r="A94" s="8" t="s">
        <v>2</v>
      </c>
      <c r="B94" s="1" t="s">
        <v>1</v>
      </c>
      <c r="C94" s="8" t="s">
        <v>0</v>
      </c>
      <c r="D94" s="8">
        <v>0</v>
      </c>
      <c r="E94" s="8"/>
    </row>
    <row r="95" spans="1:5">
      <c r="D95" s="4">
        <f>SUM(D2:D94)</f>
        <v>0</v>
      </c>
    </row>
  </sheetData>
  <phoneticPr fontId="1" type="noConversion"/>
  <pageMargins left="0.7" right="0.7" top="0.75" bottom="0.75" header="0.3" footer="0.3"/>
  <pageSetup paperSize="9" orientation="portrait" r:id="rId1"/>
  <headerFooter>
    <oddFooter>&amp;L_x000D_&amp;1#&amp;"Calibri"&amp;10&amp;K000000 본 문서는 현대자동차·기아의 정보자산으로 귀사와의 비밀유지계약 및 제반법률에 따라 법적 보호를 받습니다.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6A8A8-3CEC-4373-A44F-9213329BE016}">
  <sheetPr codeName="Sheet2"/>
  <dimension ref="A1:D98"/>
  <sheetViews>
    <sheetView topLeftCell="A64" zoomScale="85" zoomScaleNormal="85" workbookViewId="0">
      <selection activeCell="B2" sqref="B2"/>
    </sheetView>
  </sheetViews>
  <sheetFormatPr defaultRowHeight="16.5"/>
  <cols>
    <col min="1" max="1" width="22.25" style="4" bestFit="1" customWidth="1"/>
    <col min="2" max="2" width="85" bestFit="1" customWidth="1"/>
    <col min="3" max="3" width="5.75" bestFit="1" customWidth="1"/>
    <col min="4" max="4" width="11.625" style="4" bestFit="1" customWidth="1"/>
  </cols>
  <sheetData>
    <row r="1" spans="1:4">
      <c r="A1" s="12" t="s">
        <v>286</v>
      </c>
      <c r="B1" s="12" t="s">
        <v>285</v>
      </c>
      <c r="C1" s="12" t="s">
        <v>183</v>
      </c>
      <c r="D1" s="12" t="s">
        <v>750</v>
      </c>
    </row>
    <row r="2" spans="1:4">
      <c r="A2" s="8" t="s">
        <v>263</v>
      </c>
      <c r="B2" s="1" t="s">
        <v>305</v>
      </c>
      <c r="C2" s="8">
        <v>0</v>
      </c>
      <c r="D2" s="8"/>
    </row>
    <row r="3" spans="1:4">
      <c r="A3" s="8" t="s">
        <v>263</v>
      </c>
      <c r="B3" s="1" t="s">
        <v>284</v>
      </c>
      <c r="C3" s="8">
        <v>0</v>
      </c>
      <c r="D3" s="8"/>
    </row>
    <row r="4" spans="1:4">
      <c r="A4" s="8" t="s">
        <v>208</v>
      </c>
      <c r="B4" s="1" t="s">
        <v>283</v>
      </c>
      <c r="C4" s="8">
        <v>0</v>
      </c>
      <c r="D4" s="8"/>
    </row>
    <row r="5" spans="1:4">
      <c r="A5" s="8" t="s">
        <v>206</v>
      </c>
      <c r="B5" s="1" t="s">
        <v>282</v>
      </c>
      <c r="C5" s="8">
        <v>0</v>
      </c>
      <c r="D5" s="8"/>
    </row>
    <row r="6" spans="1:4">
      <c r="A6" s="8" t="s">
        <v>206</v>
      </c>
      <c r="B6" s="1" t="s">
        <v>281</v>
      </c>
      <c r="C6" s="8">
        <v>0</v>
      </c>
      <c r="D6" s="8"/>
    </row>
    <row r="7" spans="1:4">
      <c r="A7" s="8" t="s">
        <v>195</v>
      </c>
      <c r="B7" s="1" t="s">
        <v>280</v>
      </c>
      <c r="C7" s="8">
        <v>0</v>
      </c>
      <c r="D7" s="8"/>
    </row>
    <row r="8" spans="1:4">
      <c r="A8" s="8" t="s">
        <v>195</v>
      </c>
      <c r="B8" s="1" t="s">
        <v>279</v>
      </c>
      <c r="C8" s="8">
        <v>0</v>
      </c>
      <c r="D8" s="8"/>
    </row>
    <row r="9" spans="1:4">
      <c r="A9" s="8" t="s">
        <v>195</v>
      </c>
      <c r="B9" s="1" t="s">
        <v>278</v>
      </c>
      <c r="C9" s="8">
        <v>0</v>
      </c>
      <c r="D9" s="8"/>
    </row>
    <row r="10" spans="1:4">
      <c r="A10" s="8" t="s">
        <v>195</v>
      </c>
      <c r="B10" s="1" t="s">
        <v>277</v>
      </c>
      <c r="C10" s="8">
        <v>0</v>
      </c>
      <c r="D10" s="8"/>
    </row>
    <row r="11" spans="1:4">
      <c r="A11" s="8" t="s">
        <v>195</v>
      </c>
      <c r="B11" s="1" t="s">
        <v>276</v>
      </c>
      <c r="C11" s="8">
        <v>0</v>
      </c>
      <c r="D11" s="8"/>
    </row>
    <row r="12" spans="1:4">
      <c r="A12" s="8" t="s">
        <v>195</v>
      </c>
      <c r="B12" s="1" t="s">
        <v>275</v>
      </c>
      <c r="C12" s="8">
        <v>0</v>
      </c>
      <c r="D12" s="8"/>
    </row>
    <row r="13" spans="1:4">
      <c r="A13" s="8" t="s">
        <v>195</v>
      </c>
      <c r="B13" s="1" t="s">
        <v>274</v>
      </c>
      <c r="C13" s="8">
        <v>0</v>
      </c>
      <c r="D13" s="8"/>
    </row>
    <row r="14" spans="1:4">
      <c r="A14" s="8" t="s">
        <v>192</v>
      </c>
      <c r="B14" s="1" t="s">
        <v>273</v>
      </c>
      <c r="C14" s="8">
        <v>0</v>
      </c>
      <c r="D14" s="8"/>
    </row>
    <row r="15" spans="1:4">
      <c r="A15" s="8" t="s">
        <v>192</v>
      </c>
      <c r="B15" s="1" t="s">
        <v>272</v>
      </c>
      <c r="C15" s="8">
        <v>0</v>
      </c>
      <c r="D15" s="8"/>
    </row>
    <row r="16" spans="1:4">
      <c r="A16" s="8" t="s">
        <v>216</v>
      </c>
      <c r="B16" s="1" t="s">
        <v>271</v>
      </c>
      <c r="C16" s="8">
        <v>0</v>
      </c>
      <c r="D16" s="8"/>
    </row>
    <row r="17" spans="1:4">
      <c r="A17" s="8" t="s">
        <v>216</v>
      </c>
      <c r="B17" s="1" t="s">
        <v>270</v>
      </c>
      <c r="C17" s="8">
        <v>0</v>
      </c>
      <c r="D17" s="8"/>
    </row>
    <row r="18" spans="1:4">
      <c r="A18" s="8" t="s">
        <v>216</v>
      </c>
      <c r="B18" s="1" t="s">
        <v>269</v>
      </c>
      <c r="C18" s="8">
        <v>0</v>
      </c>
      <c r="D18" s="8"/>
    </row>
    <row r="19" spans="1:4">
      <c r="A19" s="8" t="s">
        <v>216</v>
      </c>
      <c r="B19" s="1" t="s">
        <v>268</v>
      </c>
      <c r="C19" s="8">
        <v>0</v>
      </c>
      <c r="D19" s="8"/>
    </row>
    <row r="20" spans="1:4">
      <c r="A20" s="8" t="s">
        <v>216</v>
      </c>
      <c r="B20" s="1" t="s">
        <v>267</v>
      </c>
      <c r="C20" s="8">
        <v>0</v>
      </c>
      <c r="D20" s="8"/>
    </row>
    <row r="21" spans="1:4">
      <c r="A21" s="8" t="s">
        <v>216</v>
      </c>
      <c r="B21" s="1" t="s">
        <v>266</v>
      </c>
      <c r="C21" s="8">
        <v>0</v>
      </c>
      <c r="D21" s="8"/>
    </row>
    <row r="22" spans="1:4">
      <c r="A22" s="8" t="s">
        <v>216</v>
      </c>
      <c r="B22" s="1" t="s">
        <v>265</v>
      </c>
      <c r="C22" s="8">
        <v>0</v>
      </c>
      <c r="D22" s="8"/>
    </row>
    <row r="23" spans="1:4">
      <c r="A23" s="8" t="s">
        <v>216</v>
      </c>
      <c r="B23" s="1" t="s">
        <v>264</v>
      </c>
      <c r="C23" s="8">
        <v>0</v>
      </c>
      <c r="D23" s="8"/>
    </row>
    <row r="24" spans="1:4">
      <c r="A24" s="8" t="s">
        <v>216</v>
      </c>
      <c r="B24" s="1" t="s">
        <v>774</v>
      </c>
      <c r="C24" s="8">
        <v>0</v>
      </c>
      <c r="D24" s="8"/>
    </row>
    <row r="25" spans="1:4">
      <c r="A25" s="8" t="s">
        <v>263</v>
      </c>
      <c r="B25" s="1" t="s">
        <v>262</v>
      </c>
      <c r="C25" s="8">
        <v>0</v>
      </c>
      <c r="D25" s="8"/>
    </row>
    <row r="26" spans="1:4">
      <c r="A26" s="8" t="s">
        <v>242</v>
      </c>
      <c r="B26" s="1" t="s">
        <v>261</v>
      </c>
      <c r="C26" s="8">
        <v>0</v>
      </c>
      <c r="D26" s="8"/>
    </row>
    <row r="27" spans="1:4">
      <c r="A27" s="8" t="s">
        <v>242</v>
      </c>
      <c r="B27" s="1" t="s">
        <v>260</v>
      </c>
      <c r="C27" s="8">
        <v>0</v>
      </c>
      <c r="D27" s="8"/>
    </row>
    <row r="28" spans="1:4">
      <c r="A28" s="8" t="s">
        <v>242</v>
      </c>
      <c r="B28" s="1" t="s">
        <v>259</v>
      </c>
      <c r="C28" s="8">
        <v>0</v>
      </c>
      <c r="D28" s="8"/>
    </row>
    <row r="29" spans="1:4">
      <c r="A29" s="8" t="s">
        <v>242</v>
      </c>
      <c r="B29" s="1" t="s">
        <v>258</v>
      </c>
      <c r="C29" s="8">
        <v>0</v>
      </c>
      <c r="D29" s="8"/>
    </row>
    <row r="30" spans="1:4">
      <c r="A30" s="8" t="s">
        <v>242</v>
      </c>
      <c r="B30" s="1" t="s">
        <v>257</v>
      </c>
      <c r="C30" s="8">
        <v>0</v>
      </c>
      <c r="D30" s="8"/>
    </row>
    <row r="31" spans="1:4">
      <c r="A31" s="8" t="s">
        <v>242</v>
      </c>
      <c r="B31" s="1" t="s">
        <v>256</v>
      </c>
      <c r="C31" s="8">
        <v>0</v>
      </c>
      <c r="D31" s="8"/>
    </row>
    <row r="32" spans="1:4">
      <c r="A32" s="8" t="s">
        <v>242</v>
      </c>
      <c r="B32" s="1" t="s">
        <v>255</v>
      </c>
      <c r="C32" s="8">
        <v>0</v>
      </c>
      <c r="D32" s="8"/>
    </row>
    <row r="33" spans="1:4">
      <c r="A33" s="8" t="s">
        <v>242</v>
      </c>
      <c r="B33" s="1" t="s">
        <v>254</v>
      </c>
      <c r="C33" s="8">
        <v>0</v>
      </c>
      <c r="D33" s="8"/>
    </row>
    <row r="34" spans="1:4">
      <c r="A34" s="8" t="s">
        <v>242</v>
      </c>
      <c r="B34" s="1" t="s">
        <v>253</v>
      </c>
      <c r="C34" s="8">
        <v>0</v>
      </c>
      <c r="D34" s="8"/>
    </row>
    <row r="35" spans="1:4">
      <c r="A35" s="8" t="s">
        <v>242</v>
      </c>
      <c r="B35" s="1" t="s">
        <v>252</v>
      </c>
      <c r="C35" s="8">
        <v>0</v>
      </c>
      <c r="D35" s="8"/>
    </row>
    <row r="36" spans="1:4">
      <c r="A36" s="8" t="s">
        <v>242</v>
      </c>
      <c r="B36" s="1" t="s">
        <v>251</v>
      </c>
      <c r="C36" s="8">
        <v>0</v>
      </c>
      <c r="D36" s="8"/>
    </row>
    <row r="37" spans="1:4">
      <c r="A37" s="8" t="s">
        <v>242</v>
      </c>
      <c r="B37" s="1" t="s">
        <v>250</v>
      </c>
      <c r="C37" s="8">
        <v>0</v>
      </c>
      <c r="D37" s="8"/>
    </row>
    <row r="38" spans="1:4">
      <c r="A38" s="8" t="s">
        <v>242</v>
      </c>
      <c r="B38" s="1" t="s">
        <v>249</v>
      </c>
      <c r="C38" s="8">
        <v>0</v>
      </c>
      <c r="D38" s="8"/>
    </row>
    <row r="39" spans="1:4">
      <c r="A39" s="8" t="s">
        <v>242</v>
      </c>
      <c r="B39" s="1" t="s">
        <v>248</v>
      </c>
      <c r="C39" s="8">
        <v>0</v>
      </c>
      <c r="D39" s="8"/>
    </row>
    <row r="40" spans="1:4">
      <c r="A40" s="8" t="s">
        <v>242</v>
      </c>
      <c r="B40" s="1" t="s">
        <v>247</v>
      </c>
      <c r="C40" s="8">
        <v>0</v>
      </c>
      <c r="D40" s="8"/>
    </row>
    <row r="41" spans="1:4">
      <c r="A41" s="8" t="s">
        <v>242</v>
      </c>
      <c r="B41" s="1" t="s">
        <v>246</v>
      </c>
      <c r="C41" s="8">
        <v>0</v>
      </c>
      <c r="D41" s="8"/>
    </row>
    <row r="42" spans="1:4">
      <c r="A42" s="8" t="s">
        <v>242</v>
      </c>
      <c r="B42" s="1" t="s">
        <v>245</v>
      </c>
      <c r="C42" s="8">
        <v>0</v>
      </c>
      <c r="D42" s="8"/>
    </row>
    <row r="43" spans="1:4">
      <c r="A43" s="8" t="s">
        <v>242</v>
      </c>
      <c r="B43" s="1" t="s">
        <v>244</v>
      </c>
      <c r="C43" s="8">
        <v>0</v>
      </c>
      <c r="D43" s="8"/>
    </row>
    <row r="44" spans="1:4">
      <c r="A44" s="8" t="s">
        <v>242</v>
      </c>
      <c r="B44" s="1" t="s">
        <v>243</v>
      </c>
      <c r="C44" s="8">
        <v>0</v>
      </c>
      <c r="D44" s="8"/>
    </row>
    <row r="45" spans="1:4">
      <c r="A45" s="8" t="s">
        <v>242</v>
      </c>
      <c r="B45" s="1" t="s">
        <v>241</v>
      </c>
      <c r="C45" s="8">
        <v>0</v>
      </c>
      <c r="D45" s="8"/>
    </row>
    <row r="46" spans="1:4">
      <c r="A46" s="8" t="s">
        <v>208</v>
      </c>
      <c r="B46" s="1" t="s">
        <v>240</v>
      </c>
      <c r="C46" s="8">
        <v>0</v>
      </c>
      <c r="D46" s="8"/>
    </row>
    <row r="47" spans="1:4">
      <c r="A47" s="8" t="s">
        <v>195</v>
      </c>
      <c r="B47" s="1" t="s">
        <v>239</v>
      </c>
      <c r="C47" s="8">
        <v>0</v>
      </c>
      <c r="D47" s="8"/>
    </row>
    <row r="48" spans="1:4">
      <c r="A48" s="8" t="s">
        <v>195</v>
      </c>
      <c r="B48" s="1" t="s">
        <v>238</v>
      </c>
      <c r="C48" s="8">
        <v>0</v>
      </c>
      <c r="D48" s="8"/>
    </row>
    <row r="49" spans="1:4">
      <c r="A49" s="8" t="s">
        <v>195</v>
      </c>
      <c r="B49" s="1" t="s">
        <v>237</v>
      </c>
      <c r="C49" s="8">
        <v>0</v>
      </c>
      <c r="D49" s="8"/>
    </row>
    <row r="50" spans="1:4">
      <c r="A50" s="8" t="s">
        <v>195</v>
      </c>
      <c r="B50" s="1" t="s">
        <v>236</v>
      </c>
      <c r="C50" s="8">
        <v>0</v>
      </c>
      <c r="D50" s="8"/>
    </row>
    <row r="51" spans="1:4">
      <c r="A51" s="8" t="s">
        <v>195</v>
      </c>
      <c r="B51" s="1" t="s">
        <v>235</v>
      </c>
      <c r="C51" s="8">
        <v>0</v>
      </c>
      <c r="D51" s="8"/>
    </row>
    <row r="52" spans="1:4">
      <c r="A52" s="8" t="s">
        <v>195</v>
      </c>
      <c r="B52" s="1" t="s">
        <v>234</v>
      </c>
      <c r="C52" s="8">
        <v>0</v>
      </c>
      <c r="D52" s="8"/>
    </row>
    <row r="53" spans="1:4">
      <c r="A53" s="8" t="s">
        <v>195</v>
      </c>
      <c r="B53" s="1" t="s">
        <v>233</v>
      </c>
      <c r="C53" s="8">
        <v>0</v>
      </c>
      <c r="D53" s="8"/>
    </row>
    <row r="54" spans="1:4">
      <c r="A54" s="8" t="s">
        <v>195</v>
      </c>
      <c r="B54" s="1" t="s">
        <v>232</v>
      </c>
      <c r="C54" s="8">
        <v>0</v>
      </c>
      <c r="D54" s="8"/>
    </row>
    <row r="55" spans="1:4">
      <c r="A55" s="8" t="s">
        <v>195</v>
      </c>
      <c r="B55" s="1" t="s">
        <v>231</v>
      </c>
      <c r="C55" s="8">
        <v>0</v>
      </c>
      <c r="D55" s="8"/>
    </row>
    <row r="56" spans="1:4">
      <c r="A56" s="8" t="s">
        <v>195</v>
      </c>
      <c r="B56" s="1" t="s">
        <v>230</v>
      </c>
      <c r="C56" s="8">
        <v>0</v>
      </c>
      <c r="D56" s="8"/>
    </row>
    <row r="57" spans="1:4">
      <c r="A57" s="8" t="s">
        <v>229</v>
      </c>
      <c r="B57" s="1" t="s">
        <v>228</v>
      </c>
      <c r="C57" s="8">
        <v>0</v>
      </c>
      <c r="D57" s="8"/>
    </row>
    <row r="58" spans="1:4">
      <c r="A58" s="8" t="s">
        <v>192</v>
      </c>
      <c r="B58" s="1" t="s">
        <v>227</v>
      </c>
      <c r="C58" s="8">
        <v>0</v>
      </c>
      <c r="D58" s="8"/>
    </row>
    <row r="59" spans="1:4">
      <c r="A59" s="8" t="s">
        <v>192</v>
      </c>
      <c r="B59" s="1" t="s">
        <v>226</v>
      </c>
      <c r="C59" s="8">
        <v>0</v>
      </c>
      <c r="D59" s="8"/>
    </row>
    <row r="60" spans="1:4">
      <c r="A60" s="8" t="s">
        <v>192</v>
      </c>
      <c r="B60" s="1" t="s">
        <v>225</v>
      </c>
      <c r="C60" s="8">
        <v>0</v>
      </c>
      <c r="D60" s="8"/>
    </row>
    <row r="61" spans="1:4">
      <c r="A61" s="8" t="s">
        <v>192</v>
      </c>
      <c r="B61" s="1" t="s">
        <v>224</v>
      </c>
      <c r="C61" s="8">
        <v>0</v>
      </c>
      <c r="D61" s="8"/>
    </row>
    <row r="62" spans="1:4">
      <c r="A62" s="8" t="s">
        <v>192</v>
      </c>
      <c r="B62" s="1" t="s">
        <v>223</v>
      </c>
      <c r="C62" s="8">
        <v>0</v>
      </c>
      <c r="D62" s="8"/>
    </row>
    <row r="63" spans="1:4">
      <c r="A63" s="8" t="s">
        <v>192</v>
      </c>
      <c r="B63" s="1" t="s">
        <v>222</v>
      </c>
      <c r="C63" s="8">
        <v>0</v>
      </c>
      <c r="D63" s="8"/>
    </row>
    <row r="64" spans="1:4">
      <c r="A64" s="8" t="s">
        <v>192</v>
      </c>
      <c r="B64" s="1" t="s">
        <v>221</v>
      </c>
      <c r="C64" s="8">
        <v>0</v>
      </c>
      <c r="D64" s="8"/>
    </row>
    <row r="65" spans="1:4">
      <c r="A65" s="8" t="s">
        <v>192</v>
      </c>
      <c r="B65" s="1" t="s">
        <v>220</v>
      </c>
      <c r="C65" s="8">
        <v>0</v>
      </c>
      <c r="D65" s="8"/>
    </row>
    <row r="66" spans="1:4">
      <c r="A66" s="8" t="s">
        <v>192</v>
      </c>
      <c r="B66" s="1" t="s">
        <v>219</v>
      </c>
      <c r="C66" s="8">
        <v>0</v>
      </c>
      <c r="D66" s="8"/>
    </row>
    <row r="67" spans="1:4">
      <c r="A67" s="8" t="s">
        <v>192</v>
      </c>
      <c r="B67" s="1" t="s">
        <v>218</v>
      </c>
      <c r="C67" s="8">
        <v>0</v>
      </c>
      <c r="D67" s="8"/>
    </row>
    <row r="68" spans="1:4">
      <c r="A68" s="8" t="s">
        <v>192</v>
      </c>
      <c r="B68" s="1" t="s">
        <v>217</v>
      </c>
      <c r="C68" s="8">
        <v>0</v>
      </c>
      <c r="D68" s="8"/>
    </row>
    <row r="69" spans="1:4">
      <c r="A69" s="8" t="s">
        <v>216</v>
      </c>
      <c r="B69" s="1" t="s">
        <v>215</v>
      </c>
      <c r="C69" s="8">
        <v>0</v>
      </c>
      <c r="D69" s="8"/>
    </row>
    <row r="70" spans="1:4">
      <c r="A70" s="8" t="s">
        <v>188</v>
      </c>
      <c r="B70" s="1" t="s">
        <v>214</v>
      </c>
      <c r="C70" s="8">
        <v>0</v>
      </c>
      <c r="D70" s="8"/>
    </row>
    <row r="71" spans="1:4">
      <c r="A71" s="8" t="s">
        <v>188</v>
      </c>
      <c r="B71" s="1" t="s">
        <v>213</v>
      </c>
      <c r="C71" s="8">
        <v>0</v>
      </c>
      <c r="D71" s="8"/>
    </row>
    <row r="72" spans="1:4">
      <c r="A72" s="8" t="s">
        <v>188</v>
      </c>
      <c r="B72" s="1" t="s">
        <v>212</v>
      </c>
      <c r="C72" s="8">
        <v>0</v>
      </c>
      <c r="D72" s="8"/>
    </row>
    <row r="73" spans="1:4">
      <c r="A73" s="8" t="s">
        <v>188</v>
      </c>
      <c r="B73" s="1" t="s">
        <v>211</v>
      </c>
      <c r="C73" s="8">
        <v>0</v>
      </c>
      <c r="D73" s="8"/>
    </row>
    <row r="74" spans="1:4">
      <c r="A74" s="8" t="s">
        <v>188</v>
      </c>
      <c r="B74" s="1" t="s">
        <v>210</v>
      </c>
      <c r="C74" s="8">
        <v>0</v>
      </c>
      <c r="D74" s="8"/>
    </row>
    <row r="75" spans="1:4">
      <c r="A75" s="8" t="s">
        <v>208</v>
      </c>
      <c r="B75" s="1" t="s">
        <v>209</v>
      </c>
      <c r="C75" s="8">
        <v>1</v>
      </c>
      <c r="D75" s="8"/>
    </row>
    <row r="76" spans="1:4">
      <c r="A76" s="8" t="s">
        <v>208</v>
      </c>
      <c r="B76" s="1" t="s">
        <v>207</v>
      </c>
      <c r="C76" s="8">
        <v>0</v>
      </c>
      <c r="D76" s="8"/>
    </row>
    <row r="77" spans="1:4">
      <c r="A77" s="8" t="s">
        <v>206</v>
      </c>
      <c r="B77" s="1" t="s">
        <v>205</v>
      </c>
      <c r="C77" s="8">
        <v>0</v>
      </c>
      <c r="D77" s="8"/>
    </row>
    <row r="78" spans="1:4">
      <c r="A78" s="8" t="s">
        <v>203</v>
      </c>
      <c r="B78" s="1" t="s">
        <v>204</v>
      </c>
      <c r="C78" s="8">
        <v>0</v>
      </c>
      <c r="D78" s="8"/>
    </row>
    <row r="79" spans="1:4">
      <c r="A79" s="8" t="s">
        <v>203</v>
      </c>
      <c r="B79" s="1" t="s">
        <v>202</v>
      </c>
      <c r="C79" s="8">
        <v>0</v>
      </c>
      <c r="D79" s="8"/>
    </row>
    <row r="80" spans="1:4">
      <c r="A80" s="8" t="s">
        <v>200</v>
      </c>
      <c r="B80" s="1" t="s">
        <v>201</v>
      </c>
      <c r="C80" s="8">
        <v>0</v>
      </c>
      <c r="D80" s="8"/>
    </row>
    <row r="81" spans="1:4">
      <c r="A81" s="8" t="s">
        <v>200</v>
      </c>
      <c r="B81" s="1" t="s">
        <v>199</v>
      </c>
      <c r="C81" s="8">
        <v>0</v>
      </c>
      <c r="D81" s="8"/>
    </row>
    <row r="82" spans="1:4">
      <c r="A82" s="8" t="s">
        <v>195</v>
      </c>
      <c r="B82" s="1" t="s">
        <v>198</v>
      </c>
      <c r="C82" s="8">
        <v>0</v>
      </c>
      <c r="D82" s="8"/>
    </row>
    <row r="83" spans="1:4">
      <c r="A83" s="8" t="s">
        <v>195</v>
      </c>
      <c r="B83" s="1" t="s">
        <v>197</v>
      </c>
      <c r="C83" s="8">
        <v>0</v>
      </c>
      <c r="D83" s="8"/>
    </row>
    <row r="84" spans="1:4">
      <c r="A84" s="8" t="s">
        <v>195</v>
      </c>
      <c r="B84" s="1" t="s">
        <v>196</v>
      </c>
      <c r="C84" s="8">
        <v>0</v>
      </c>
      <c r="D84" s="8"/>
    </row>
    <row r="85" spans="1:4">
      <c r="A85" s="8" t="s">
        <v>195</v>
      </c>
      <c r="B85" s="1" t="s">
        <v>194</v>
      </c>
      <c r="C85" s="8">
        <v>0</v>
      </c>
      <c r="D85" s="8"/>
    </row>
    <row r="86" spans="1:4">
      <c r="A86" s="8" t="s">
        <v>192</v>
      </c>
      <c r="B86" s="1" t="s">
        <v>193</v>
      </c>
      <c r="C86" s="8">
        <v>0</v>
      </c>
      <c r="D86" s="8"/>
    </row>
    <row r="87" spans="1:4">
      <c r="A87" s="8" t="s">
        <v>192</v>
      </c>
      <c r="B87" s="1" t="s">
        <v>191</v>
      </c>
      <c r="C87" s="8">
        <v>0</v>
      </c>
      <c r="D87" s="8"/>
    </row>
    <row r="88" spans="1:4">
      <c r="A88" s="8" t="s">
        <v>773</v>
      </c>
      <c r="B88" s="1" t="s">
        <v>763</v>
      </c>
      <c r="C88" s="8">
        <v>0</v>
      </c>
      <c r="D88" s="8"/>
    </row>
    <row r="89" spans="1:4">
      <c r="A89" s="8" t="s">
        <v>773</v>
      </c>
      <c r="B89" s="1" t="s">
        <v>769</v>
      </c>
      <c r="C89" s="8">
        <v>0</v>
      </c>
      <c r="D89" s="8"/>
    </row>
    <row r="90" spans="1:4">
      <c r="A90" s="8" t="s">
        <v>188</v>
      </c>
      <c r="B90" s="1" t="s">
        <v>190</v>
      </c>
      <c r="C90" s="8">
        <v>0</v>
      </c>
      <c r="D90" s="8"/>
    </row>
    <row r="91" spans="1:4">
      <c r="A91" s="8" t="s">
        <v>188</v>
      </c>
      <c r="B91" s="1" t="s">
        <v>189</v>
      </c>
      <c r="C91" s="8">
        <v>0</v>
      </c>
      <c r="D91" s="8"/>
    </row>
    <row r="92" spans="1:4">
      <c r="A92" s="8" t="s">
        <v>188</v>
      </c>
      <c r="B92" s="1" t="s">
        <v>187</v>
      </c>
      <c r="C92" s="8">
        <v>0</v>
      </c>
      <c r="D92" s="8"/>
    </row>
    <row r="93" spans="1:4">
      <c r="A93" s="8" t="s">
        <v>760</v>
      </c>
      <c r="B93" s="1" t="s">
        <v>759</v>
      </c>
      <c r="C93" s="8">
        <v>0</v>
      </c>
      <c r="D93" s="8"/>
    </row>
    <row r="94" spans="1:4" ht="33">
      <c r="A94" s="8" t="s">
        <v>760</v>
      </c>
      <c r="B94" s="24" t="s">
        <v>782</v>
      </c>
      <c r="C94" s="8">
        <v>0</v>
      </c>
      <c r="D94" s="8"/>
    </row>
    <row r="95" spans="1:4" ht="33">
      <c r="A95" s="8" t="s">
        <v>760</v>
      </c>
      <c r="B95" s="24" t="s">
        <v>781</v>
      </c>
      <c r="C95" s="8">
        <v>0</v>
      </c>
      <c r="D95" s="8"/>
    </row>
    <row r="96" spans="1:4">
      <c r="A96" s="8" t="s">
        <v>760</v>
      </c>
      <c r="B96" s="1" t="s">
        <v>761</v>
      </c>
      <c r="C96" s="8">
        <v>0</v>
      </c>
      <c r="D96" s="8"/>
    </row>
    <row r="97" spans="1:4">
      <c r="A97" s="8" t="s">
        <v>760</v>
      </c>
      <c r="B97" s="1" t="s">
        <v>762</v>
      </c>
      <c r="C97" s="8">
        <v>0</v>
      </c>
      <c r="D97" s="8"/>
    </row>
    <row r="98" spans="1:4">
      <c r="C98" s="4">
        <f>SUM(C2:C97)</f>
        <v>1</v>
      </c>
    </row>
  </sheetData>
  <phoneticPr fontId="1" type="noConversion"/>
  <pageMargins left="0.7" right="0.7" top="0.75" bottom="0.75" header="0.3" footer="0.3"/>
  <pageSetup paperSize="9" orientation="portrait" r:id="rId1"/>
  <headerFooter>
    <oddFooter>&amp;L_x000D_&amp;1#&amp;"Calibri"&amp;10&amp;K000000 본 문서는 현대자동차·기아의 정보자산으로 귀사와의 비밀유지계약 및 제반법률에 따라 법적 보호를 받습니다.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FA0F-677D-4278-8562-82A8440EEB29}">
  <sheetPr codeName="Sheet4">
    <pageSetUpPr fitToPage="1"/>
  </sheetPr>
  <dimension ref="A1:S217"/>
  <sheetViews>
    <sheetView topLeftCell="B1" zoomScale="55" zoomScaleNormal="55" workbookViewId="0">
      <selection activeCell="Q41" sqref="Q41"/>
    </sheetView>
  </sheetViews>
  <sheetFormatPr defaultRowHeight="16.5"/>
  <cols>
    <col min="1" max="1" width="10.875" bestFit="1" customWidth="1"/>
    <col min="2" max="2" width="15.875" bestFit="1" customWidth="1"/>
    <col min="3" max="3" width="13.875" bestFit="1" customWidth="1"/>
    <col min="4" max="4" width="108" bestFit="1" customWidth="1"/>
    <col min="5" max="5" width="7" style="4" customWidth="1"/>
    <col min="6" max="6" width="18.125" style="4" bestFit="1" customWidth="1"/>
    <col min="7" max="7" width="9.75" style="3" bestFit="1" customWidth="1"/>
    <col min="8" max="8" width="6" style="3" bestFit="1" customWidth="1"/>
    <col min="9" max="9" width="14.25" style="3" bestFit="1" customWidth="1"/>
    <col min="10" max="10" width="72.375" style="2" customWidth="1"/>
    <col min="11" max="11" width="12.5" customWidth="1"/>
    <col min="12" max="12" width="12.875" customWidth="1"/>
    <col min="17" max="17" width="15.125" customWidth="1"/>
    <col min="18" max="18" width="17.625" customWidth="1"/>
    <col min="19" max="19" width="11.25" customWidth="1"/>
  </cols>
  <sheetData>
    <row r="1" spans="1:19">
      <c r="A1" s="7" t="s">
        <v>749</v>
      </c>
      <c r="B1" s="7" t="s">
        <v>748</v>
      </c>
      <c r="C1" s="7" t="s">
        <v>747</v>
      </c>
      <c r="D1" s="7"/>
      <c r="E1" s="7" t="s">
        <v>746</v>
      </c>
      <c r="F1" s="7" t="s">
        <v>745</v>
      </c>
      <c r="G1" s="6" t="s">
        <v>183</v>
      </c>
      <c r="H1" s="6" t="s">
        <v>744</v>
      </c>
      <c r="I1" s="6"/>
      <c r="J1" s="7" t="s">
        <v>743</v>
      </c>
      <c r="K1" s="10" t="s">
        <v>750</v>
      </c>
      <c r="L1" s="6" t="s">
        <v>744</v>
      </c>
      <c r="N1" s="34" t="s">
        <v>746</v>
      </c>
      <c r="O1" s="34" t="s">
        <v>751</v>
      </c>
      <c r="P1" s="34" t="s">
        <v>752</v>
      </c>
      <c r="Q1" s="34" t="s">
        <v>756</v>
      </c>
      <c r="R1" s="34"/>
      <c r="S1" s="34" t="s">
        <v>753</v>
      </c>
    </row>
    <row r="2" spans="1:19">
      <c r="A2" s="31" t="s">
        <v>742</v>
      </c>
      <c r="B2" s="31" t="s">
        <v>741</v>
      </c>
      <c r="C2" s="8" t="s">
        <v>740</v>
      </c>
      <c r="D2" s="8" t="s">
        <v>739</v>
      </c>
      <c r="E2" s="8" t="s">
        <v>316</v>
      </c>
      <c r="F2" s="8" t="str">
        <f t="shared" ref="F2:F16" si="0">IF(G2="","",IF(G2&lt;=0,"P","F"))</f>
        <v>P</v>
      </c>
      <c r="G2" s="9">
        <f>SUMIF(H2,"&lt;&gt;#N/A")</f>
        <v>0</v>
      </c>
      <c r="H2" s="9">
        <f>IF(I2="CERT_C",VLOOKUP(J2,'CERT C'!$A$2:$D$94,4,FALSE),IF(I2="DEFECT",VLOOKUP(J2,Defect!$B$2:$C$97,2,FALSE),IF(I2="SPARROW",VLOOKUP(J2,#REF!,2,FALSE),"")))</f>
        <v>0</v>
      </c>
      <c r="I2" s="9" t="s">
        <v>309</v>
      </c>
      <c r="J2" s="13" t="s">
        <v>738</v>
      </c>
      <c r="K2" s="8">
        <f>IF(SUM(L2) &gt; 0, 1, 0)</f>
        <v>0</v>
      </c>
      <c r="L2" s="8">
        <f>IF(IF(I2="CERT_C",VLOOKUP(J2,'CERT C'!$A$2:$E$94,5,FALSE),IF(I2="DEFECT",VLOOKUP(J2,Defect!$B$2:$D$97,3,FALSE),IF(I2="SPARROW",VLOOKUP(J2,#REF!,3,FALSE),"")))="Unreviewed", 1, 0)</f>
        <v>0</v>
      </c>
      <c r="N2" s="34"/>
      <c r="O2" s="34"/>
      <c r="P2" s="34"/>
      <c r="Q2" s="6" t="s">
        <v>755</v>
      </c>
      <c r="R2" s="6" t="s">
        <v>754</v>
      </c>
      <c r="S2" s="34"/>
    </row>
    <row r="3" spans="1:19">
      <c r="A3" s="31"/>
      <c r="B3" s="31"/>
      <c r="C3" s="8" t="s">
        <v>737</v>
      </c>
      <c r="D3" s="8" t="s">
        <v>736</v>
      </c>
      <c r="E3" s="8" t="s">
        <v>316</v>
      </c>
      <c r="F3" s="8" t="str">
        <f t="shared" si="0"/>
        <v>P</v>
      </c>
      <c r="G3" s="9">
        <f t="shared" ref="G3:G15" si="1">SUMIF(H3,"&lt;&gt;#N/A")</f>
        <v>0</v>
      </c>
      <c r="H3" s="9">
        <f>IF(I3="CERT_C",VLOOKUP(J3,'CERT C'!$A$2:$D$94,4,FALSE),IF(I3="DEFECT",VLOOKUP(J3,Defect!$B$2:$C$97,2,FALSE),IF(I3="SPARROW",VLOOKUP(J3,#REF!,2,FALSE),"")))</f>
        <v>0</v>
      </c>
      <c r="I3" s="9" t="s">
        <v>309</v>
      </c>
      <c r="J3" s="14" t="s">
        <v>735</v>
      </c>
      <c r="K3" s="8">
        <f t="shared" ref="K3:K15" si="2">IF(SUM(L3) &gt; 0, 1, 0)</f>
        <v>0</v>
      </c>
      <c r="L3" s="8">
        <f>IF(IF(I3="CERT_C",VLOOKUP(J3,'CERT C'!$A$2:$E$94,5,FALSE),IF(I3="DEFECT",VLOOKUP(J3,Defect!$B$2:$D$97,3,FALSE),IF(I3="SPARROW",VLOOKUP(J3,#REF!,3,FALSE),"")))="Unreviewed", 1, 0)</f>
        <v>0</v>
      </c>
      <c r="N3" s="8" t="s">
        <v>297</v>
      </c>
      <c r="O3" s="8">
        <f>COUNTIF($E$2:$E$214, "상")</f>
        <v>45</v>
      </c>
      <c r="P3" s="8">
        <f>COUNTIFS($E$2:$E$212, "상", $F$2:$F$212, "P")</f>
        <v>45</v>
      </c>
      <c r="Q3" s="8">
        <f>O3-P3-R3</f>
        <v>0</v>
      </c>
      <c r="R3" s="8">
        <f>COUNTIFS($E$2:$E$212, "상", $K$2:$K$212, "1")</f>
        <v>0</v>
      </c>
      <c r="S3" s="9">
        <f>(P3+Q3)/O3*100</f>
        <v>100</v>
      </c>
    </row>
    <row r="4" spans="1:19">
      <c r="A4" s="31"/>
      <c r="B4" s="31"/>
      <c r="C4" s="8" t="s">
        <v>734</v>
      </c>
      <c r="D4" s="8" t="s">
        <v>733</v>
      </c>
      <c r="E4" s="8" t="s">
        <v>316</v>
      </c>
      <c r="F4" s="8" t="str">
        <f t="shared" si="0"/>
        <v>P</v>
      </c>
      <c r="G4" s="9">
        <f t="shared" si="1"/>
        <v>0</v>
      </c>
      <c r="H4" s="9">
        <f>IF(I4="CERT_C",VLOOKUP(J4,'CERT C'!$A$2:$D$94,4,FALSE),IF(I4="DEFECT",VLOOKUP(J4,Defect!$B$2:$C$97,2,FALSE),IF(I4="SPARROW",VLOOKUP(J4,#REF!,2,FALSE),"")))</f>
        <v>0</v>
      </c>
      <c r="I4" s="9" t="s">
        <v>309</v>
      </c>
      <c r="J4" s="13" t="s">
        <v>732</v>
      </c>
      <c r="K4" s="8">
        <f t="shared" si="2"/>
        <v>0</v>
      </c>
      <c r="L4" s="8">
        <f>IF(IF(I4="CERT_C",VLOOKUP(J4,'CERT C'!$A$2:$E$94,5,FALSE),IF(I4="DEFECT",VLOOKUP(J4,Defect!$B$2:$D$97,3,FALSE),IF(I4="SPARROW",VLOOKUP(J4,#REF!,3,FALSE),"")))="Unreviewed", 1, 0)</f>
        <v>0</v>
      </c>
      <c r="N4" s="8" t="s">
        <v>292</v>
      </c>
      <c r="O4" s="8">
        <f>COUNTIF($E$2:$E$212, "중")</f>
        <v>42</v>
      </c>
      <c r="P4" s="8">
        <f>COUNTIFS($E$2:$E$212, "중", $F$2:$F$212, "P")</f>
        <v>41</v>
      </c>
      <c r="Q4" s="8">
        <f t="shared" ref="Q4:Q5" si="3">O4-P4-R4</f>
        <v>1</v>
      </c>
      <c r="R4" s="8">
        <f>COUNTIFS($E$2:$E$212, "중", $K$2:$K$212, "1")</f>
        <v>0</v>
      </c>
      <c r="S4" s="9">
        <f t="shared" ref="S4:S5" si="4">(P4+Q4)/O4*100</f>
        <v>100</v>
      </c>
    </row>
    <row r="5" spans="1:19">
      <c r="A5" s="31"/>
      <c r="B5" s="25" t="s">
        <v>731</v>
      </c>
      <c r="C5" s="8" t="s">
        <v>730</v>
      </c>
      <c r="D5" s="8" t="s">
        <v>729</v>
      </c>
      <c r="E5" s="8" t="s">
        <v>297</v>
      </c>
      <c r="F5" s="8" t="str">
        <f t="shared" si="0"/>
        <v>P</v>
      </c>
      <c r="G5" s="9">
        <f t="shared" si="1"/>
        <v>0</v>
      </c>
      <c r="H5" s="9">
        <f>IF(I5="CERT_C",VLOOKUP(J5,'CERT C'!$A$2:$D$94,4,FALSE),IF(I5="DEFECT",VLOOKUP(J5,Defect!$B$2:$C$97,2,FALSE),IF(I5="SPARROW",VLOOKUP(J5,#REF!,2,FALSE),"")))</f>
        <v>0</v>
      </c>
      <c r="I5" s="9" t="s">
        <v>309</v>
      </c>
      <c r="J5" s="14" t="s">
        <v>728</v>
      </c>
      <c r="K5" s="8">
        <f t="shared" si="2"/>
        <v>0</v>
      </c>
      <c r="L5" s="8">
        <f>IF(IF(I5="CERT_C",VLOOKUP(J5,'CERT C'!$A$2:$E$94,5,FALSE),IF(I5="DEFECT",VLOOKUP(J5,Defect!$B$2:$D$97,3,FALSE),IF(I5="SPARROW",VLOOKUP(J5,#REF!,3,FALSE),"")))="Unreviewed", 1, 0)</f>
        <v>0</v>
      </c>
      <c r="N5" s="8" t="s">
        <v>316</v>
      </c>
      <c r="O5" s="8">
        <f>COUNTIF($E$2:$E$212, "하")</f>
        <v>42</v>
      </c>
      <c r="P5" s="8">
        <f>COUNTIFS($E$2:$E$212, "하", $F$2:$F$212, "P")</f>
        <v>42</v>
      </c>
      <c r="Q5" s="8">
        <f t="shared" si="3"/>
        <v>0</v>
      </c>
      <c r="R5" s="8">
        <f>COUNTIFS($E$2:$E$212, "하", $K$2:$K$212, "1")</f>
        <v>0</v>
      </c>
      <c r="S5" s="9">
        <f t="shared" si="4"/>
        <v>100</v>
      </c>
    </row>
    <row r="6" spans="1:19">
      <c r="A6" s="31"/>
      <c r="B6" s="30"/>
      <c r="C6" s="8" t="s">
        <v>727</v>
      </c>
      <c r="D6" s="8" t="s">
        <v>726</v>
      </c>
      <c r="E6" s="8" t="s">
        <v>292</v>
      </c>
      <c r="F6" s="8" t="str">
        <f t="shared" si="0"/>
        <v>P</v>
      </c>
      <c r="G6" s="9">
        <f t="shared" si="1"/>
        <v>0</v>
      </c>
      <c r="H6" s="9">
        <f>IF(I6="CERT_C",VLOOKUP(J6,'CERT C'!$A$2:$D$94,4,FALSE),IF(I6="DEFECT",VLOOKUP(J6,Defect!$B$2:$C$97,2,FALSE),IF(I6="SPARROW",VLOOKUP(J6,#REF!,2,FALSE),"")))</f>
        <v>0</v>
      </c>
      <c r="I6" s="9" t="s">
        <v>309</v>
      </c>
      <c r="J6" s="14" t="s">
        <v>725</v>
      </c>
      <c r="K6" s="8">
        <f t="shared" si="2"/>
        <v>0</v>
      </c>
      <c r="L6" s="8">
        <f>IF(IF(I6="CERT_C",VLOOKUP(J6,'CERT C'!$A$2:$E$94,5,FALSE),IF(I6="DEFECT",VLOOKUP(J6,Defect!$B$2:$D$97,3,FALSE),IF(I6="SPARROW",VLOOKUP(J6,#REF!,3,FALSE),"")))="Unreviewed", 1, 0)</f>
        <v>0</v>
      </c>
    </row>
    <row r="7" spans="1:19">
      <c r="A7" s="31"/>
      <c r="B7" s="30"/>
      <c r="C7" s="8" t="s">
        <v>724</v>
      </c>
      <c r="D7" s="8" t="s">
        <v>723</v>
      </c>
      <c r="E7" s="8" t="s">
        <v>316</v>
      </c>
      <c r="F7" s="8" t="str">
        <f t="shared" si="0"/>
        <v>P</v>
      </c>
      <c r="G7" s="9">
        <f t="shared" si="1"/>
        <v>0</v>
      </c>
      <c r="H7" s="9">
        <f>IF(I7="CERT_C",VLOOKUP(J7,'CERT C'!$A$2:$D$94,4,FALSE),IF(I7="DEFECT",VLOOKUP(J7,Defect!$B$2:$C$97,2,FALSE),IF(I7="SPARROW",VLOOKUP(J7,#REF!,2,FALSE),"")))</f>
        <v>0</v>
      </c>
      <c r="I7" s="9" t="s">
        <v>309</v>
      </c>
      <c r="J7" s="14" t="s">
        <v>722</v>
      </c>
      <c r="K7" s="8">
        <f t="shared" si="2"/>
        <v>0</v>
      </c>
      <c r="L7" s="8">
        <f>IF(IF(I7="CERT_C",VLOOKUP(J7,'CERT C'!$A$2:$E$94,5,FALSE),IF(I7="DEFECT",VLOOKUP(J7,Defect!$B$2:$D$97,3,FALSE),IF(I7="SPARROW",VLOOKUP(J7,#REF!,3,FALSE),"")))="Unreviewed", 1, 0)</f>
        <v>0</v>
      </c>
    </row>
    <row r="8" spans="1:19">
      <c r="A8" s="31"/>
      <c r="B8" s="30"/>
      <c r="C8" s="8" t="s">
        <v>721</v>
      </c>
      <c r="D8" s="8" t="s">
        <v>720</v>
      </c>
      <c r="E8" s="8" t="s">
        <v>316</v>
      </c>
      <c r="F8" s="8" t="str">
        <f t="shared" si="0"/>
        <v>P</v>
      </c>
      <c r="G8" s="9">
        <f t="shared" si="1"/>
        <v>0</v>
      </c>
      <c r="H8" s="9">
        <f>IF(I8="CERT_C",VLOOKUP(J8,'CERT C'!$A$2:$D$94,4,FALSE),IF(I8="DEFECT",VLOOKUP(J8,Defect!$B$2:$C$97,2,FALSE),IF(I8="SPARROW",VLOOKUP(J8,#REF!,2,FALSE),"")))</f>
        <v>0</v>
      </c>
      <c r="I8" s="9" t="s">
        <v>309</v>
      </c>
      <c r="J8" s="14" t="s">
        <v>719</v>
      </c>
      <c r="K8" s="8">
        <f t="shared" si="2"/>
        <v>0</v>
      </c>
      <c r="L8" s="8">
        <f>IF(IF(I8="CERT_C",VLOOKUP(J8,'CERT C'!$A$2:$E$94,5,FALSE),IF(I8="DEFECT",VLOOKUP(J8,Defect!$B$2:$D$97,3,FALSE),IF(I8="SPARROW",VLOOKUP(J8,#REF!,3,FALSE),"")))="Unreviewed", 1, 0)</f>
        <v>0</v>
      </c>
    </row>
    <row r="9" spans="1:19">
      <c r="A9" s="31"/>
      <c r="B9" s="30"/>
      <c r="C9" s="8" t="s">
        <v>718</v>
      </c>
      <c r="D9" s="8" t="s">
        <v>717</v>
      </c>
      <c r="E9" s="8" t="s">
        <v>316</v>
      </c>
      <c r="F9" s="8" t="str">
        <f t="shared" si="0"/>
        <v>P</v>
      </c>
      <c r="G9" s="9">
        <f t="shared" si="1"/>
        <v>0</v>
      </c>
      <c r="H9" s="9">
        <f>IF(I9="CERT_C",VLOOKUP(J9,'CERT C'!$A$2:$D$94,4,FALSE),IF(I9="DEFECT",VLOOKUP(J9,Defect!$B$2:$C$97,2,FALSE),IF(I9="SPARROW",VLOOKUP(J9,#REF!,2,FALSE),"")))</f>
        <v>0</v>
      </c>
      <c r="I9" s="9" t="s">
        <v>309</v>
      </c>
      <c r="J9" s="14" t="s">
        <v>716</v>
      </c>
      <c r="K9" s="8">
        <f t="shared" si="2"/>
        <v>0</v>
      </c>
      <c r="L9" s="8">
        <f>IF(IF(I9="CERT_C",VLOOKUP(J9,'CERT C'!$A$2:$E$94,5,FALSE),IF(I9="DEFECT",VLOOKUP(J9,Defect!$B$2:$D$97,3,FALSE),IF(I9="SPARROW",VLOOKUP(J9,#REF!,3,FALSE),"")))="Unreviewed", 1, 0)</f>
        <v>0</v>
      </c>
    </row>
    <row r="10" spans="1:19">
      <c r="A10" s="31"/>
      <c r="B10" s="30"/>
      <c r="C10" s="8" t="s">
        <v>715</v>
      </c>
      <c r="D10" s="8" t="s">
        <v>714</v>
      </c>
      <c r="E10" s="8" t="s">
        <v>316</v>
      </c>
      <c r="F10" s="8" t="str">
        <f t="shared" si="0"/>
        <v>P</v>
      </c>
      <c r="G10" s="9">
        <f t="shared" si="1"/>
        <v>0</v>
      </c>
      <c r="H10" s="9">
        <f>IF(I10="CERT_C",VLOOKUP(J10,'CERT C'!$A$2:$D$94,4,FALSE),IF(I10="DEFECT",VLOOKUP(J10,Defect!$B$2:$C$97,2,FALSE),IF(I10="SPARROW",VLOOKUP(J10,#REF!,2,FALSE),"")))</f>
        <v>0</v>
      </c>
      <c r="I10" s="9" t="s">
        <v>309</v>
      </c>
      <c r="J10" s="14" t="s">
        <v>713</v>
      </c>
      <c r="K10" s="8">
        <f t="shared" si="2"/>
        <v>0</v>
      </c>
      <c r="L10" s="8">
        <f>IF(IF(I10="CERT_C",VLOOKUP(J10,'CERT C'!$A$2:$E$94,5,FALSE),IF(I10="DEFECT",VLOOKUP(J10,Defect!$B$2:$D$97,3,FALSE),IF(I10="SPARROW",VLOOKUP(J10,#REF!,3,FALSE),"")))="Unreviewed", 1, 0)</f>
        <v>0</v>
      </c>
    </row>
    <row r="11" spans="1:19">
      <c r="A11" s="31"/>
      <c r="B11" s="30"/>
      <c r="C11" s="8" t="s">
        <v>712</v>
      </c>
      <c r="D11" s="8" t="s">
        <v>711</v>
      </c>
      <c r="E11" s="8" t="s">
        <v>292</v>
      </c>
      <c r="F11" s="8" t="str">
        <f t="shared" si="0"/>
        <v>P</v>
      </c>
      <c r="G11" s="9">
        <f t="shared" si="1"/>
        <v>0</v>
      </c>
      <c r="H11" s="9">
        <f>IF(I11="CERT_C",VLOOKUP(J11,'CERT C'!$A$2:$D$94,4,FALSE),IF(I11="DEFECT",VLOOKUP(J11,Defect!$B$2:$C$97,2,FALSE),IF(I11="SPARROW",VLOOKUP(J11,#REF!,2,FALSE),"")))</f>
        <v>0</v>
      </c>
      <c r="I11" s="9" t="s">
        <v>309</v>
      </c>
      <c r="J11" s="14" t="s">
        <v>710</v>
      </c>
      <c r="K11" s="8">
        <f t="shared" si="2"/>
        <v>0</v>
      </c>
      <c r="L11" s="8">
        <f>IF(IF(I11="CERT_C",VLOOKUP(J11,'CERT C'!$A$2:$E$94,5,FALSE),IF(I11="DEFECT",VLOOKUP(J11,Defect!$B$2:$D$97,3,FALSE),IF(I11="SPARROW",VLOOKUP(J11,#REF!,3,FALSE),"")))="Unreviewed", 1, 0)</f>
        <v>0</v>
      </c>
    </row>
    <row r="12" spans="1:19">
      <c r="A12" s="31"/>
      <c r="B12" s="30"/>
      <c r="C12" s="8" t="s">
        <v>709</v>
      </c>
      <c r="D12" s="8" t="s">
        <v>708</v>
      </c>
      <c r="E12" s="8" t="s">
        <v>292</v>
      </c>
      <c r="F12" s="8" t="str">
        <f t="shared" si="0"/>
        <v>P</v>
      </c>
      <c r="G12" s="9">
        <f t="shared" si="1"/>
        <v>0</v>
      </c>
      <c r="H12" s="9">
        <f>IF(I12="CERT_C",VLOOKUP(J12,'CERT C'!$A$2:$D$94,4,FALSE),IF(I12="DEFECT",VLOOKUP(J12,Defect!$B$2:$C$97,2,FALSE),IF(I12="SPARROW",VLOOKUP(J12,#REF!,2,FALSE),"")))</f>
        <v>0</v>
      </c>
      <c r="I12" s="9" t="s">
        <v>289</v>
      </c>
      <c r="J12" s="13" t="s">
        <v>763</v>
      </c>
      <c r="K12" s="8">
        <f t="shared" si="2"/>
        <v>0</v>
      </c>
      <c r="L12" s="8">
        <f>IF(IF(I12="CERT_C",VLOOKUP(J12,'CERT C'!$A$2:$E$94,5,FALSE),IF(I12="DEFECT",VLOOKUP(J12,Defect!$B$2:$D$97,3,FALSE),IF(I12="SPARROW",VLOOKUP(J12,#REF!,3,FALSE),"")))="Unreviewed", 1, 0)</f>
        <v>0</v>
      </c>
    </row>
    <row r="13" spans="1:19">
      <c r="A13" s="31"/>
      <c r="B13" s="30"/>
      <c r="C13" s="8" t="s">
        <v>707</v>
      </c>
      <c r="D13" s="8" t="s">
        <v>706</v>
      </c>
      <c r="E13" s="8" t="s">
        <v>292</v>
      </c>
      <c r="F13" s="8" t="str">
        <f t="shared" si="0"/>
        <v>P</v>
      </c>
      <c r="G13" s="9">
        <f t="shared" si="1"/>
        <v>0</v>
      </c>
      <c r="H13" s="9">
        <f>IF(I13="CERT_C",VLOOKUP(J13,'CERT C'!$A$2:$D$94,4,FALSE),IF(I13="DEFECT",VLOOKUP(J13,Defect!$B$2:$C$97,2,FALSE),IF(I13="SPARROW",VLOOKUP(J13,#REF!,2,FALSE),"")))</f>
        <v>0</v>
      </c>
      <c r="I13" s="9" t="s">
        <v>289</v>
      </c>
      <c r="J13" s="14" t="s">
        <v>705</v>
      </c>
      <c r="K13" s="8">
        <f t="shared" si="2"/>
        <v>0</v>
      </c>
      <c r="L13" s="8">
        <f>IF(IF(I13="CERT_C",VLOOKUP(J13,'CERT C'!$A$2:$E$94,5,FALSE),IF(I13="DEFECT",VLOOKUP(J13,Defect!$B$2:$D$97,3,FALSE),IF(I13="SPARROW",VLOOKUP(J13,#REF!,3,FALSE),"")))="Unreviewed", 1, 0)</f>
        <v>0</v>
      </c>
    </row>
    <row r="14" spans="1:19">
      <c r="A14" s="31"/>
      <c r="B14" s="30"/>
      <c r="C14" s="8" t="s">
        <v>704</v>
      </c>
      <c r="D14" s="8" t="s">
        <v>703</v>
      </c>
      <c r="E14" s="8" t="s">
        <v>292</v>
      </c>
      <c r="F14" s="8" t="str">
        <f t="shared" si="0"/>
        <v>P</v>
      </c>
      <c r="G14" s="9">
        <f t="shared" si="1"/>
        <v>0</v>
      </c>
      <c r="H14" s="9">
        <f>IF(I14="CERT_C",VLOOKUP(J14,'CERT C'!$A$2:$D$94,4,FALSE),IF(I14="DEFECT",VLOOKUP(J14,Defect!$B$2:$C$97,2,FALSE),IF(I14="SPARROW",VLOOKUP(J14,#REF!,2,FALSE),"")))</f>
        <v>0</v>
      </c>
      <c r="I14" s="9" t="s">
        <v>289</v>
      </c>
      <c r="J14" s="13" t="s">
        <v>702</v>
      </c>
      <c r="K14" s="8">
        <f t="shared" si="2"/>
        <v>0</v>
      </c>
      <c r="L14" s="8">
        <f>IF(IF(I14="CERT_C",VLOOKUP(J14,'CERT C'!$A$2:$E$94,5,FALSE),IF(I14="DEFECT",VLOOKUP(J14,Defect!$B$2:$D$97,3,FALSE),IF(I14="SPARROW",VLOOKUP(J14,#REF!,3,FALSE),"")))="Unreviewed", 1, 0)</f>
        <v>0</v>
      </c>
    </row>
    <row r="15" spans="1:19">
      <c r="A15" s="31"/>
      <c r="B15" s="30"/>
      <c r="C15" s="8" t="s">
        <v>701</v>
      </c>
      <c r="D15" s="8" t="s">
        <v>700</v>
      </c>
      <c r="E15" s="8" t="s">
        <v>297</v>
      </c>
      <c r="F15" s="8" t="str">
        <f t="shared" si="0"/>
        <v>P</v>
      </c>
      <c r="G15" s="9">
        <f t="shared" si="1"/>
        <v>0</v>
      </c>
      <c r="H15" s="9">
        <f>IF(I15="CERT_C",VLOOKUP(J15,'CERT C'!$A$2:$D$94,4,FALSE),IF(I15="DEFECT",VLOOKUP(J15,Defect!$B$2:$C$97,2,FALSE),IF(I15="SPARROW",VLOOKUP(J15,#REF!,2,FALSE),"")))</f>
        <v>0</v>
      </c>
      <c r="I15" s="9" t="s">
        <v>289</v>
      </c>
      <c r="J15" s="14" t="s">
        <v>699</v>
      </c>
      <c r="K15" s="8">
        <f t="shared" si="2"/>
        <v>0</v>
      </c>
      <c r="L15" s="8">
        <f>IF(IF(I15="CERT_C",VLOOKUP(J15,'CERT C'!$A$2:$E$94,5,FALSE),IF(I15="DEFECT",VLOOKUP(J15,Defect!$B$2:$D$97,3,FALSE),IF(I15="SPARROW",VLOOKUP(J15,#REF!,3,FALSE),"")))="Unreviewed", 1, 0)</f>
        <v>0</v>
      </c>
    </row>
    <row r="16" spans="1:19">
      <c r="A16" s="31"/>
      <c r="B16" s="30"/>
      <c r="C16" s="25" t="s">
        <v>698</v>
      </c>
      <c r="D16" s="25" t="s">
        <v>697</v>
      </c>
      <c r="E16" s="25" t="s">
        <v>297</v>
      </c>
      <c r="F16" s="25" t="str">
        <f t="shared" si="0"/>
        <v>P</v>
      </c>
      <c r="G16" s="27">
        <f>SUMIF(H16:H17,"&lt;&gt;#N/A")</f>
        <v>0</v>
      </c>
      <c r="H16" s="9">
        <f>IF(I16="CERT_C",VLOOKUP(J16,'CERT C'!$A$2:$D$94,4,FALSE),IF(I16="DEFECT",VLOOKUP(J16,Defect!$B$2:$C$97,2,FALSE),IF(I16="SPARROW",VLOOKUP(J16,#REF!,2,FALSE),"")))</f>
        <v>0</v>
      </c>
      <c r="I16" s="9" t="s">
        <v>289</v>
      </c>
      <c r="J16" s="13" t="s">
        <v>540</v>
      </c>
      <c r="K16" s="25">
        <f>IF(SUM(L16:L17) &gt; 0, 1, 0)</f>
        <v>0</v>
      </c>
      <c r="L16" s="8">
        <f>IF(IF(I16="CERT_C",VLOOKUP(J16,'CERT C'!$A$2:$E$94,5,FALSE),IF(I16="DEFECT",VLOOKUP(J16,Defect!$B$2:$D$97,3,FALSE),IF(I16="SPARROW",VLOOKUP(J16,#REF!,3,FALSE),"")))="Unreviewed", 1, 0)</f>
        <v>0</v>
      </c>
    </row>
    <row r="17" spans="1:12">
      <c r="A17" s="31"/>
      <c r="B17" s="26"/>
      <c r="C17" s="26"/>
      <c r="D17" s="26"/>
      <c r="E17" s="26"/>
      <c r="F17" s="26"/>
      <c r="G17" s="28"/>
      <c r="H17" s="9">
        <f>IF(I17="CERT_C",VLOOKUP(J17,'CERT C'!$A$2:$D$94,4,FALSE),IF(I17="DEFECT",VLOOKUP(J17,Defect!$B$2:$C$97,2,FALSE),IF(I17="SPARROW",VLOOKUP(J17,#REF!,2,FALSE),"")))</f>
        <v>0</v>
      </c>
      <c r="I17" s="9" t="s">
        <v>289</v>
      </c>
      <c r="J17" s="13" t="s">
        <v>764</v>
      </c>
      <c r="K17" s="26"/>
      <c r="L17" s="8">
        <f>IF(IF(I17="CERT_C",VLOOKUP(J17,'CERT C'!$A$2:$E$94,5,FALSE),IF(I17="DEFECT",VLOOKUP(J17,Defect!$B$2:$D$97,3,FALSE),IF(I17="SPARROW",VLOOKUP(J17,#REF!,3,FALSE),"")))="Unreviewed", 1, 0)</f>
        <v>0</v>
      </c>
    </row>
    <row r="18" spans="1:12">
      <c r="A18" s="31"/>
      <c r="B18" s="25" t="s">
        <v>696</v>
      </c>
      <c r="C18" s="8" t="s">
        <v>695</v>
      </c>
      <c r="D18" s="8" t="s">
        <v>694</v>
      </c>
      <c r="E18" s="8" t="s">
        <v>292</v>
      </c>
      <c r="F18" s="8" t="str">
        <f t="shared" ref="F18:F26" si="5">IF(G18="","",IF(G18&lt;=0,"P","F"))</f>
        <v>P</v>
      </c>
      <c r="G18" s="9">
        <f t="shared" ref="G18:G25" si="6">SUMIF(H18,"&lt;&gt;#N/A")</f>
        <v>0</v>
      </c>
      <c r="H18" s="9">
        <f>IF(I18="CERT_C",VLOOKUP(J18,'CERT C'!$A$2:$D$94,4,FALSE),IF(I18="DEFECT",VLOOKUP(J18,Defect!$B$2:$C$97,2,FALSE),IF(I18="SPARROW",VLOOKUP(J18,#REF!,2,FALSE),"")))</f>
        <v>0</v>
      </c>
      <c r="I18" s="9" t="s">
        <v>309</v>
      </c>
      <c r="J18" s="14" t="s">
        <v>693</v>
      </c>
      <c r="K18" s="8">
        <f>IF(SUM(L18) &gt; 0, 1, 0)</f>
        <v>0</v>
      </c>
      <c r="L18" s="8">
        <f>IF(IF(I18="CERT_C",VLOOKUP(J18,'CERT C'!$A$2:$E$94,5,FALSE),IF(I18="DEFECT",VLOOKUP(J18,Defect!$B$2:$D$97,3,FALSE),IF(I18="SPARROW",VLOOKUP(J18,#REF!,3,FALSE),"")))="Unreviewed", 1, 0)</f>
        <v>0</v>
      </c>
    </row>
    <row r="19" spans="1:12">
      <c r="A19" s="31"/>
      <c r="B19" s="30"/>
      <c r="C19" s="8" t="s">
        <v>692</v>
      </c>
      <c r="D19" s="8" t="s">
        <v>691</v>
      </c>
      <c r="E19" s="8" t="s">
        <v>297</v>
      </c>
      <c r="F19" s="8" t="str">
        <f t="shared" si="5"/>
        <v>P</v>
      </c>
      <c r="G19" s="9">
        <f t="shared" si="6"/>
        <v>0</v>
      </c>
      <c r="H19" s="9">
        <f>IF(I19="CERT_C",VLOOKUP(J19,'CERT C'!$A$2:$D$94,4,FALSE),IF(I19="DEFECT",VLOOKUP(J19,Defect!$B$2:$C$97,2,FALSE),IF(I19="SPARROW",VLOOKUP(J19,#REF!,2,FALSE),"")))</f>
        <v>0</v>
      </c>
      <c r="I19" s="9" t="s">
        <v>309</v>
      </c>
      <c r="J19" s="14" t="s">
        <v>690</v>
      </c>
      <c r="K19" s="8">
        <f t="shared" ref="K19:K25" si="7">IF(SUM(L19) &gt; 0, 1, 0)</f>
        <v>0</v>
      </c>
      <c r="L19" s="8">
        <f>IF(IF(I19="CERT_C",VLOOKUP(J19,'CERT C'!$A$2:$E$94,5,FALSE),IF(I19="DEFECT",VLOOKUP(J19,Defect!$B$2:$D$97,3,FALSE),IF(I19="SPARROW",VLOOKUP(J19,#REF!,3,FALSE),"")))="Unreviewed", 1, 0)</f>
        <v>0</v>
      </c>
    </row>
    <row r="20" spans="1:12">
      <c r="A20" s="31"/>
      <c r="B20" s="30"/>
      <c r="C20" s="8" t="s">
        <v>689</v>
      </c>
      <c r="D20" s="8" t="s">
        <v>688</v>
      </c>
      <c r="E20" s="8" t="s">
        <v>297</v>
      </c>
      <c r="F20" s="8" t="str">
        <f t="shared" si="5"/>
        <v>P</v>
      </c>
      <c r="G20" s="9">
        <f t="shared" si="6"/>
        <v>0</v>
      </c>
      <c r="H20" s="9">
        <f>IF(I20="CERT_C",VLOOKUP(J20,'CERT C'!$A$2:$D$94,4,FALSE),IF(I20="DEFECT",VLOOKUP(J20,Defect!$B$2:$C$97,2,FALSE),IF(I20="SPARROW",VLOOKUP(J20,#REF!,2,FALSE),"")))</f>
        <v>0</v>
      </c>
      <c r="I20" s="9" t="s">
        <v>309</v>
      </c>
      <c r="J20" s="13" t="s">
        <v>687</v>
      </c>
      <c r="K20" s="8">
        <f t="shared" si="7"/>
        <v>0</v>
      </c>
      <c r="L20" s="8">
        <f>IF(IF(I20="CERT_C",VLOOKUP(J20,'CERT C'!$A$2:$E$94,5,FALSE),IF(I20="DEFECT",VLOOKUP(J20,Defect!$B$2:$D$97,3,FALSE),IF(I20="SPARROW",VLOOKUP(J20,#REF!,3,FALSE),"")))="Unreviewed", 1, 0)</f>
        <v>0</v>
      </c>
    </row>
    <row r="21" spans="1:12">
      <c r="A21" s="31"/>
      <c r="B21" s="30"/>
      <c r="C21" s="8" t="s">
        <v>686</v>
      </c>
      <c r="D21" s="8" t="s">
        <v>685</v>
      </c>
      <c r="E21" s="8" t="s">
        <v>297</v>
      </c>
      <c r="F21" s="8" t="str">
        <f t="shared" si="5"/>
        <v>P</v>
      </c>
      <c r="G21" s="9">
        <f t="shared" si="6"/>
        <v>0</v>
      </c>
      <c r="H21" s="9">
        <f>IF(I21="CERT_C",VLOOKUP(J21,'CERT C'!$A$2:$D$94,4,FALSE),IF(I21="DEFECT",VLOOKUP(J21,Defect!$B$2:$C$97,2,FALSE),IF(I21="SPARROW",VLOOKUP(J21,#REF!,2,FALSE),"")))</f>
        <v>0</v>
      </c>
      <c r="I21" s="9" t="s">
        <v>309</v>
      </c>
      <c r="J21" s="14" t="s">
        <v>684</v>
      </c>
      <c r="K21" s="8">
        <f t="shared" si="7"/>
        <v>0</v>
      </c>
      <c r="L21" s="8">
        <f>IF(IF(I21="CERT_C",VLOOKUP(J21,'CERT C'!$A$2:$E$94,5,FALSE),IF(I21="DEFECT",VLOOKUP(J21,Defect!$B$2:$D$97,3,FALSE),IF(I21="SPARROW",VLOOKUP(J21,#REF!,3,FALSE),"")))="Unreviewed", 1, 0)</f>
        <v>0</v>
      </c>
    </row>
    <row r="22" spans="1:12">
      <c r="A22" s="31"/>
      <c r="B22" s="30"/>
      <c r="C22" s="8" t="s">
        <v>683</v>
      </c>
      <c r="D22" s="8" t="s">
        <v>682</v>
      </c>
      <c r="E22" s="8" t="s">
        <v>316</v>
      </c>
      <c r="F22" s="8" t="str">
        <f t="shared" si="5"/>
        <v>P</v>
      </c>
      <c r="G22" s="9">
        <f t="shared" si="6"/>
        <v>0</v>
      </c>
      <c r="H22" s="9">
        <f>IF(I22="CERT_C",VLOOKUP(J22,'CERT C'!$A$2:$D$94,4,FALSE),IF(I22="DEFECT",VLOOKUP(J22,Defect!$B$2:$C$97,2,FALSE),IF(I22="SPARROW",VLOOKUP(J22,#REF!,2,FALSE),"")))</f>
        <v>0</v>
      </c>
      <c r="I22" s="9" t="s">
        <v>309</v>
      </c>
      <c r="J22" s="13" t="s">
        <v>681</v>
      </c>
      <c r="K22" s="8">
        <f t="shared" si="7"/>
        <v>0</v>
      </c>
      <c r="L22" s="8">
        <f>IF(IF(I22="CERT_C",VLOOKUP(J22,'CERT C'!$A$2:$E$94,5,FALSE),IF(I22="DEFECT",VLOOKUP(J22,Defect!$B$2:$D$97,3,FALSE),IF(I22="SPARROW",VLOOKUP(J22,#REF!,3,FALSE),"")))="Unreviewed", 1, 0)</f>
        <v>0</v>
      </c>
    </row>
    <row r="23" spans="1:12">
      <c r="A23" s="31"/>
      <c r="B23" s="30"/>
      <c r="C23" s="8" t="s">
        <v>680</v>
      </c>
      <c r="D23" s="8" t="s">
        <v>679</v>
      </c>
      <c r="E23" s="8" t="s">
        <v>316</v>
      </c>
      <c r="F23" s="8" t="str">
        <f t="shared" si="5"/>
        <v>P</v>
      </c>
      <c r="G23" s="9">
        <f t="shared" si="6"/>
        <v>0</v>
      </c>
      <c r="H23" s="9">
        <f>IF(I23="CERT_C",VLOOKUP(J23,'CERT C'!$A$2:$D$94,4,FALSE),IF(I23="DEFECT",VLOOKUP(J23,Defect!$B$2:$C$97,2,FALSE),IF(I23="SPARROW",VLOOKUP(J23,#REF!,2,FALSE),"")))</f>
        <v>0</v>
      </c>
      <c r="I23" s="9" t="s">
        <v>309</v>
      </c>
      <c r="J23" s="14" t="s">
        <v>678</v>
      </c>
      <c r="K23" s="8">
        <f t="shared" si="7"/>
        <v>0</v>
      </c>
      <c r="L23" s="8">
        <f>IF(IF(I23="CERT_C",VLOOKUP(J23,'CERT C'!$A$2:$E$94,5,FALSE),IF(I23="DEFECT",VLOOKUP(J23,Defect!$B$2:$D$97,3,FALSE),IF(I23="SPARROW",VLOOKUP(J23,#REF!,3,FALSE),"")))="Unreviewed", 1, 0)</f>
        <v>0</v>
      </c>
    </row>
    <row r="24" spans="1:12">
      <c r="A24" s="31"/>
      <c r="B24" s="30"/>
      <c r="C24" s="8" t="s">
        <v>677</v>
      </c>
      <c r="D24" s="8" t="s">
        <v>676</v>
      </c>
      <c r="E24" s="8" t="s">
        <v>316</v>
      </c>
      <c r="F24" s="8" t="str">
        <f t="shared" si="5"/>
        <v>P</v>
      </c>
      <c r="G24" s="9">
        <f t="shared" si="6"/>
        <v>0</v>
      </c>
      <c r="H24" s="9">
        <f>IF(I24="CERT_C",VLOOKUP(J24,'CERT C'!$A$2:$D$94,4,FALSE),IF(I24="DEFECT",VLOOKUP(J24,Defect!$B$2:$C$97,2,FALSE),IF(I24="SPARROW",VLOOKUP(J24,#REF!,2,FALSE),"")))</f>
        <v>0</v>
      </c>
      <c r="I24" s="9" t="s">
        <v>309</v>
      </c>
      <c r="J24" s="13" t="s">
        <v>675</v>
      </c>
      <c r="K24" s="8">
        <f t="shared" si="7"/>
        <v>0</v>
      </c>
      <c r="L24" s="8">
        <f>IF(IF(I24="CERT_C",VLOOKUP(J24,'CERT C'!$A$2:$E$94,5,FALSE),IF(I24="DEFECT",VLOOKUP(J24,Defect!$B$2:$D$97,3,FALSE),IF(I24="SPARROW",VLOOKUP(J24,#REF!,3,FALSE),"")))="Unreviewed", 1, 0)</f>
        <v>0</v>
      </c>
    </row>
    <row r="25" spans="1:12">
      <c r="A25" s="31"/>
      <c r="B25" s="30"/>
      <c r="C25" s="8" t="s">
        <v>674</v>
      </c>
      <c r="D25" s="8" t="s">
        <v>673</v>
      </c>
      <c r="E25" s="8" t="s">
        <v>316</v>
      </c>
      <c r="F25" s="8" t="str">
        <f t="shared" si="5"/>
        <v>P</v>
      </c>
      <c r="G25" s="9">
        <f t="shared" si="6"/>
        <v>0</v>
      </c>
      <c r="H25" s="9">
        <f>IF(I25="CERT_C",VLOOKUP(J25,'CERT C'!$A$2:$D$94,4,FALSE),IF(I25="DEFECT",VLOOKUP(J25,Defect!$B$2:$C$97,2,FALSE),IF(I25="SPARROW",VLOOKUP(J25,#REF!,2,FALSE),"")))</f>
        <v>0</v>
      </c>
      <c r="I25" s="9" t="s">
        <v>309</v>
      </c>
      <c r="J25" s="14" t="s">
        <v>672</v>
      </c>
      <c r="K25" s="8">
        <f t="shared" si="7"/>
        <v>0</v>
      </c>
      <c r="L25" s="8">
        <f>IF(IF(I25="CERT_C",VLOOKUP(J25,'CERT C'!$A$2:$E$94,5,FALSE),IF(I25="DEFECT",VLOOKUP(J25,Defect!$B$2:$D$97,3,FALSE),IF(I25="SPARROW",VLOOKUP(J25,#REF!,3,FALSE),"")))="Unreviewed", 1, 0)</f>
        <v>0</v>
      </c>
    </row>
    <row r="26" spans="1:12">
      <c r="A26" s="31"/>
      <c r="B26" s="30"/>
      <c r="C26" s="25" t="s">
        <v>671</v>
      </c>
      <c r="D26" s="25" t="s">
        <v>599</v>
      </c>
      <c r="E26" s="25" t="s">
        <v>297</v>
      </c>
      <c r="F26" s="25" t="str">
        <f t="shared" si="5"/>
        <v>P</v>
      </c>
      <c r="G26" s="27">
        <f>SUMIF(H26:H32,"&lt;&gt;#N/A")</f>
        <v>0</v>
      </c>
      <c r="H26" s="9">
        <f>IF(I26="CERT_C",VLOOKUP(J26,'CERT C'!$A$2:$D$94,4,FALSE),IF(I26="DEFECT",VLOOKUP(J26,Defect!$B$2:$C$97,2,FALSE),IF(I26="SPARROW",VLOOKUP(J26,#REF!,2,FALSE),"")))</f>
        <v>0</v>
      </c>
      <c r="I26" s="9" t="s">
        <v>289</v>
      </c>
      <c r="J26" s="14" t="s">
        <v>670</v>
      </c>
      <c r="K26" s="25">
        <f>IF(SUM(L26:L32) &gt; 0, 1, 0)</f>
        <v>0</v>
      </c>
      <c r="L26" s="8">
        <f>IF(IF(I26="CERT_C",VLOOKUP(J26,'CERT C'!$A$2:$E$94,5,FALSE),IF(I26="DEFECT",VLOOKUP(J26,Defect!$B$2:$D$97,3,FALSE),IF(I26="SPARROW",VLOOKUP(J26,#REF!,3,FALSE),"")))="Unreviewed", 1, 0)</f>
        <v>0</v>
      </c>
    </row>
    <row r="27" spans="1:12">
      <c r="A27" s="31"/>
      <c r="B27" s="30"/>
      <c r="C27" s="30"/>
      <c r="D27" s="30"/>
      <c r="E27" s="30"/>
      <c r="F27" s="30"/>
      <c r="G27" s="29"/>
      <c r="H27" s="9">
        <f>IF(I27="CERT_C",VLOOKUP(J27,'CERT C'!$A$2:$D$94,4,FALSE),IF(I27="DEFECT",VLOOKUP(J27,Defect!$B$2:$C$97,2,FALSE),IF(I27="SPARROW",VLOOKUP(J27,#REF!,2,FALSE),"")))</f>
        <v>0</v>
      </c>
      <c r="I27" s="9" t="s">
        <v>289</v>
      </c>
      <c r="J27" s="14" t="s">
        <v>669</v>
      </c>
      <c r="K27" s="30"/>
      <c r="L27" s="8">
        <f>IF(IF(I27="CERT_C",VLOOKUP(J27,'CERT C'!$A$2:$E$94,5,FALSE),IF(I27="DEFECT",VLOOKUP(J27,Defect!$B$2:$D$97,3,FALSE),IF(I27="SPARROW",VLOOKUP(J27,#REF!,3,FALSE),"")))="Unreviewed", 1, 0)</f>
        <v>0</v>
      </c>
    </row>
    <row r="28" spans="1:12">
      <c r="A28" s="31"/>
      <c r="B28" s="30"/>
      <c r="C28" s="30"/>
      <c r="D28" s="30"/>
      <c r="E28" s="30"/>
      <c r="F28" s="30"/>
      <c r="G28" s="29"/>
      <c r="H28" s="9">
        <f>IF(I28="CERT_C",VLOOKUP(J28,'CERT C'!$A$2:$D$94,4,FALSE),IF(I28="DEFECT",VLOOKUP(J28,Defect!$B$2:$C$97,2,FALSE),IF(I28="SPARROW",VLOOKUP(J28,#REF!,2,FALSE),"")))</f>
        <v>0</v>
      </c>
      <c r="I28" s="9" t="s">
        <v>289</v>
      </c>
      <c r="J28" s="14" t="s">
        <v>668</v>
      </c>
      <c r="K28" s="30"/>
      <c r="L28" s="8">
        <f>IF(IF(I28="CERT_C",VLOOKUP(J28,'CERT C'!$A$2:$E$94,5,FALSE),IF(I28="DEFECT",VLOOKUP(J28,Defect!$B$2:$D$97,3,FALSE),IF(I28="SPARROW",VLOOKUP(J28,#REF!,3,FALSE),"")))="Unreviewed", 1, 0)</f>
        <v>0</v>
      </c>
    </row>
    <row r="29" spans="1:12">
      <c r="A29" s="31"/>
      <c r="B29" s="30"/>
      <c r="C29" s="30"/>
      <c r="D29" s="30"/>
      <c r="E29" s="30"/>
      <c r="F29" s="30"/>
      <c r="G29" s="29"/>
      <c r="H29" s="9">
        <f>IF(I29="CERT_C",VLOOKUP(J29,'CERT C'!$A$2:$D$94,4,FALSE),IF(I29="DEFECT",VLOOKUP(J29,Defect!$B$2:$C$97,2,FALSE),IF(I29="SPARROW",VLOOKUP(J29,#REF!,2,FALSE),"")))</f>
        <v>0</v>
      </c>
      <c r="I29" s="9" t="s">
        <v>289</v>
      </c>
      <c r="J29" s="14" t="s">
        <v>667</v>
      </c>
      <c r="K29" s="30"/>
      <c r="L29" s="8">
        <f>IF(IF(I29="CERT_C",VLOOKUP(J29,'CERT C'!$A$2:$E$94,5,FALSE),IF(I29="DEFECT",VLOOKUP(J29,Defect!$B$2:$D$97,3,FALSE),IF(I29="SPARROW",VLOOKUP(J29,#REF!,3,FALSE),"")))="Unreviewed", 1, 0)</f>
        <v>0</v>
      </c>
    </row>
    <row r="30" spans="1:12">
      <c r="A30" s="31"/>
      <c r="B30" s="30"/>
      <c r="C30" s="30"/>
      <c r="D30" s="30"/>
      <c r="E30" s="30"/>
      <c r="F30" s="30"/>
      <c r="G30" s="29"/>
      <c r="H30" s="9">
        <f>IF(I30="CERT_C",VLOOKUP(J30,'CERT C'!$A$2:$D$94,4,FALSE),IF(I30="DEFECT",VLOOKUP(J30,Defect!$B$2:$C$97,2,FALSE),IF(I30="SPARROW",VLOOKUP(J30,#REF!,2,FALSE),"")))</f>
        <v>0</v>
      </c>
      <c r="I30" s="9" t="s">
        <v>289</v>
      </c>
      <c r="J30" s="14" t="s">
        <v>666</v>
      </c>
      <c r="K30" s="30"/>
      <c r="L30" s="8">
        <f>IF(IF(I30="CERT_C",VLOOKUP(J30,'CERT C'!$A$2:$E$94,5,FALSE),IF(I30="DEFECT",VLOOKUP(J30,Defect!$B$2:$D$97,3,FALSE),IF(I30="SPARROW",VLOOKUP(J30,#REF!,3,FALSE),"")))="Unreviewed", 1, 0)</f>
        <v>0</v>
      </c>
    </row>
    <row r="31" spans="1:12">
      <c r="A31" s="31"/>
      <c r="B31" s="30"/>
      <c r="C31" s="30"/>
      <c r="D31" s="30"/>
      <c r="E31" s="30"/>
      <c r="F31" s="30"/>
      <c r="G31" s="29"/>
      <c r="H31" s="9">
        <f>IF(I31="CERT_C",VLOOKUP(J31,'CERT C'!$A$2:$D$94,4,FALSE),IF(I31="DEFECT",VLOOKUP(J31,Defect!$B$2:$C$97,2,FALSE),IF(I31="SPARROW",VLOOKUP(J31,#REF!,2,FALSE),"")))</f>
        <v>0</v>
      </c>
      <c r="I31" s="9" t="s">
        <v>289</v>
      </c>
      <c r="J31" s="14" t="s">
        <v>665</v>
      </c>
      <c r="K31" s="30"/>
      <c r="L31" s="8">
        <f>IF(IF(I31="CERT_C",VLOOKUP(J31,'CERT C'!$A$2:$E$94,5,FALSE),IF(I31="DEFECT",VLOOKUP(J31,Defect!$B$2:$D$97,3,FALSE),IF(I31="SPARROW",VLOOKUP(J31,#REF!,3,FALSE),"")))="Unreviewed", 1, 0)</f>
        <v>0</v>
      </c>
    </row>
    <row r="32" spans="1:12">
      <c r="A32" s="31"/>
      <c r="B32" s="30"/>
      <c r="C32" s="26"/>
      <c r="D32" s="26"/>
      <c r="E32" s="26"/>
      <c r="F32" s="26"/>
      <c r="G32" s="28"/>
      <c r="H32" s="9">
        <f>IF(I32="CERT_C",VLOOKUP(J32,'CERT C'!$A$2:$D$94,4,FALSE),IF(I32="DEFECT",VLOOKUP(J32,Defect!$B$2:$C$97,2,FALSE),IF(I32="SPARROW",VLOOKUP(J32,#REF!,2,FALSE),"")))</f>
        <v>0</v>
      </c>
      <c r="I32" s="9" t="s">
        <v>289</v>
      </c>
      <c r="J32" s="14" t="s">
        <v>664</v>
      </c>
      <c r="K32" s="26"/>
      <c r="L32" s="8">
        <f>IF(IF(I32="CERT_C",VLOOKUP(J32,'CERT C'!$A$2:$E$94,5,FALSE),IF(I32="DEFECT",VLOOKUP(J32,Defect!$B$2:$D$97,3,FALSE),IF(I32="SPARROW",VLOOKUP(J32,#REF!,3,FALSE),"")))="Unreviewed", 1, 0)</f>
        <v>0</v>
      </c>
    </row>
    <row r="33" spans="1:12">
      <c r="A33" s="31"/>
      <c r="B33" s="30"/>
      <c r="C33" s="8" t="s">
        <v>663</v>
      </c>
      <c r="D33" s="8" t="s">
        <v>662</v>
      </c>
      <c r="E33" s="8" t="s">
        <v>316</v>
      </c>
      <c r="F33" s="8" t="str">
        <f t="shared" ref="F33:F41" si="8">IF(G33="","",IF(G33&lt;=0,"P","F"))</f>
        <v>P</v>
      </c>
      <c r="G33" s="9">
        <f t="shared" ref="G33:G40" si="9">SUMIF(H33,"&lt;&gt;#N/A")</f>
        <v>0</v>
      </c>
      <c r="H33" s="9">
        <f>IF(I33="CERT_C",VLOOKUP(J33,'CERT C'!$A$2:$D$94,4,FALSE),IF(I33="DEFECT",VLOOKUP(J33,Defect!$B$2:$C$97,2,FALSE),IF(I33="SPARROW",VLOOKUP(J33,#REF!,2,FALSE),"")))</f>
        <v>0</v>
      </c>
      <c r="I33" s="9" t="s">
        <v>309</v>
      </c>
      <c r="J33" s="14" t="s">
        <v>661</v>
      </c>
      <c r="K33" s="8">
        <f>IF(SUM(L33) &gt; 0, 1, 0)</f>
        <v>0</v>
      </c>
      <c r="L33" s="8">
        <f>IF(IF(I33="CERT_C",VLOOKUP(J33,'CERT C'!$A$2:$E$94,5,FALSE),IF(I33="DEFECT",VLOOKUP(J33,Defect!$B$2:$D$97,3,FALSE),IF(I33="SPARROW",VLOOKUP(J33,#REF!,3,FALSE),"")))="Unreviewed", 1, 0)</f>
        <v>0</v>
      </c>
    </row>
    <row r="34" spans="1:12">
      <c r="A34" s="31"/>
      <c r="B34" s="30"/>
      <c r="C34" s="8" t="s">
        <v>660</v>
      </c>
      <c r="D34" s="8" t="s">
        <v>659</v>
      </c>
      <c r="E34" s="8" t="s">
        <v>316</v>
      </c>
      <c r="F34" s="8" t="str">
        <f t="shared" si="8"/>
        <v>P</v>
      </c>
      <c r="G34" s="9">
        <f t="shared" si="9"/>
        <v>0</v>
      </c>
      <c r="H34" s="9">
        <f>IF(I34="CERT_C",VLOOKUP(J34,'CERT C'!$A$2:$D$94,4,FALSE),IF(I34="DEFECT",VLOOKUP(J34,Defect!$B$2:$C$97,2,FALSE),IF(I34="SPARROW",VLOOKUP(J34,#REF!,2,FALSE),"")))</f>
        <v>0</v>
      </c>
      <c r="I34" s="9" t="s">
        <v>309</v>
      </c>
      <c r="J34" s="13" t="s">
        <v>658</v>
      </c>
      <c r="K34" s="8">
        <f t="shared" ref="K34:K40" si="10">IF(SUM(L34) &gt; 0, 1, 0)</f>
        <v>0</v>
      </c>
      <c r="L34" s="8">
        <f>IF(IF(I34="CERT_C",VLOOKUP(J34,'CERT C'!$A$2:$E$94,5,FALSE),IF(I34="DEFECT",VLOOKUP(J34,Defect!$B$2:$D$97,3,FALSE),IF(I34="SPARROW",VLOOKUP(J34,#REF!,3,FALSE),"")))="Unreviewed", 1, 0)</f>
        <v>0</v>
      </c>
    </row>
    <row r="35" spans="1:12">
      <c r="A35" s="31"/>
      <c r="B35" s="30"/>
      <c r="C35" s="8" t="s">
        <v>657</v>
      </c>
      <c r="D35" s="8" t="s">
        <v>656</v>
      </c>
      <c r="E35" s="8" t="s">
        <v>316</v>
      </c>
      <c r="F35" s="8" t="str">
        <f t="shared" si="8"/>
        <v>P</v>
      </c>
      <c r="G35" s="9">
        <f t="shared" si="9"/>
        <v>0</v>
      </c>
      <c r="H35" s="9">
        <f>IF(I35="CERT_C",VLOOKUP(J35,'CERT C'!$A$2:$D$94,4,FALSE),IF(I35="DEFECT",VLOOKUP(J35,Defect!$B$2:$C$97,2,FALSE),IF(I35="SPARROW",VLOOKUP(J35,#REF!,2,FALSE),"")))</f>
        <v>0</v>
      </c>
      <c r="I35" s="9" t="s">
        <v>309</v>
      </c>
      <c r="J35" s="14" t="s">
        <v>655</v>
      </c>
      <c r="K35" s="8">
        <f t="shared" si="10"/>
        <v>0</v>
      </c>
      <c r="L35" s="8">
        <f>IF(IF(I35="CERT_C",VLOOKUP(J35,'CERT C'!$A$2:$E$94,5,FALSE),IF(I35="DEFECT",VLOOKUP(J35,Defect!$B$2:$D$97,3,FALSE),IF(I35="SPARROW",VLOOKUP(J35,#REF!,3,FALSE),"")))="Unreviewed", 1, 0)</f>
        <v>0</v>
      </c>
    </row>
    <row r="36" spans="1:12">
      <c r="A36" s="31"/>
      <c r="B36" s="30"/>
      <c r="C36" s="8" t="s">
        <v>654</v>
      </c>
      <c r="D36" s="8" t="s">
        <v>653</v>
      </c>
      <c r="E36" s="8" t="s">
        <v>316</v>
      </c>
      <c r="F36" s="8" t="str">
        <f t="shared" si="8"/>
        <v>P</v>
      </c>
      <c r="G36" s="9">
        <f t="shared" si="9"/>
        <v>0</v>
      </c>
      <c r="H36" s="9">
        <f>IF(I36="CERT_C",VLOOKUP(J36,'CERT C'!$A$2:$D$94,4,FALSE),IF(I36="DEFECT",VLOOKUP(J36,Defect!$B$2:$C$97,2,FALSE),IF(I36="SPARROW",VLOOKUP(J36,#REF!,2,FALSE),"")))</f>
        <v>0</v>
      </c>
      <c r="I36" s="9" t="s">
        <v>309</v>
      </c>
      <c r="J36" s="14" t="s">
        <v>652</v>
      </c>
      <c r="K36" s="8">
        <f t="shared" si="10"/>
        <v>0</v>
      </c>
      <c r="L36" s="8">
        <f>IF(IF(I36="CERT_C",VLOOKUP(J36,'CERT C'!$A$2:$E$94,5,FALSE),IF(I36="DEFECT",VLOOKUP(J36,Defect!$B$2:$D$97,3,FALSE),IF(I36="SPARROW",VLOOKUP(J36,#REF!,3,FALSE),"")))="Unreviewed", 1, 0)</f>
        <v>0</v>
      </c>
    </row>
    <row r="37" spans="1:12">
      <c r="A37" s="31"/>
      <c r="B37" s="30"/>
      <c r="C37" s="8" t="s">
        <v>651</v>
      </c>
      <c r="D37" s="8" t="s">
        <v>650</v>
      </c>
      <c r="E37" s="8" t="s">
        <v>297</v>
      </c>
      <c r="F37" s="8" t="str">
        <f t="shared" si="8"/>
        <v>P</v>
      </c>
      <c r="G37" s="9">
        <f t="shared" si="9"/>
        <v>0</v>
      </c>
      <c r="H37" s="9">
        <f>IF(I37="CERT_C",VLOOKUP(J37,'CERT C'!$A$2:$D$94,4,FALSE),IF(I37="DEFECT",VLOOKUP(J37,Defect!$B$2:$C$97,2,FALSE),IF(I37="SPARROW",VLOOKUP(J37,#REF!,2,FALSE),"")))</f>
        <v>0</v>
      </c>
      <c r="I37" s="9" t="s">
        <v>309</v>
      </c>
      <c r="J37" s="14" t="s">
        <v>649</v>
      </c>
      <c r="K37" s="8">
        <f t="shared" si="10"/>
        <v>0</v>
      </c>
      <c r="L37" s="8">
        <f>IF(IF(I37="CERT_C",VLOOKUP(J37,'CERT C'!$A$2:$E$94,5,FALSE),IF(I37="DEFECT",VLOOKUP(J37,Defect!$B$2:$D$97,3,FALSE),IF(I37="SPARROW",VLOOKUP(J37,#REF!,3,FALSE),"")))="Unreviewed", 1, 0)</f>
        <v>0</v>
      </c>
    </row>
    <row r="38" spans="1:12">
      <c r="A38" s="31"/>
      <c r="B38" s="30"/>
      <c r="C38" s="8" t="s">
        <v>648</v>
      </c>
      <c r="D38" s="8" t="s">
        <v>647</v>
      </c>
      <c r="E38" s="8" t="s">
        <v>297</v>
      </c>
      <c r="F38" s="8" t="str">
        <f t="shared" si="8"/>
        <v>P</v>
      </c>
      <c r="G38" s="9">
        <f t="shared" si="9"/>
        <v>0</v>
      </c>
      <c r="H38" s="9">
        <f>IF(I38="CERT_C",VLOOKUP(J38,'CERT C'!$A$2:$D$94,4,FALSE),IF(I38="DEFECT",VLOOKUP(J38,Defect!$B$2:$C$97,2,FALSE),IF(I38="SPARROW",VLOOKUP(J38,#REF!,2,FALSE),"")))</f>
        <v>0</v>
      </c>
      <c r="I38" s="9" t="s">
        <v>309</v>
      </c>
      <c r="J38" s="14" t="s">
        <v>646</v>
      </c>
      <c r="K38" s="8">
        <f t="shared" si="10"/>
        <v>0</v>
      </c>
      <c r="L38" s="8">
        <f>IF(IF(I38="CERT_C",VLOOKUP(J38,'CERT C'!$A$2:$E$94,5,FALSE),IF(I38="DEFECT",VLOOKUP(J38,Defect!$B$2:$D$97,3,FALSE),IF(I38="SPARROW",VLOOKUP(J38,#REF!,3,FALSE),"")))="Unreviewed", 1, 0)</f>
        <v>0</v>
      </c>
    </row>
    <row r="39" spans="1:12">
      <c r="A39" s="31"/>
      <c r="B39" s="30"/>
      <c r="C39" s="8" t="s">
        <v>645</v>
      </c>
      <c r="D39" s="8" t="s">
        <v>644</v>
      </c>
      <c r="E39" s="8" t="s">
        <v>316</v>
      </c>
      <c r="F39" s="8" t="str">
        <f t="shared" si="8"/>
        <v>P</v>
      </c>
      <c r="G39" s="9">
        <f t="shared" si="9"/>
        <v>0</v>
      </c>
      <c r="H39" s="9">
        <f>IF(I39="CERT_C",VLOOKUP(J39,'CERT C'!$A$2:$D$94,4,FALSE),IF(I39="DEFECT",VLOOKUP(J39,Defect!$B$2:$C$97,2,FALSE),IF(I39="SPARROW",VLOOKUP(J39,#REF!,2,FALSE),"")))</f>
        <v>0</v>
      </c>
      <c r="I39" s="9" t="s">
        <v>309</v>
      </c>
      <c r="J39" s="14" t="s">
        <v>643</v>
      </c>
      <c r="K39" s="8">
        <f t="shared" si="10"/>
        <v>0</v>
      </c>
      <c r="L39" s="8">
        <f>IF(IF(I39="CERT_C",VLOOKUP(J39,'CERT C'!$A$2:$E$94,5,FALSE),IF(I39="DEFECT",VLOOKUP(J39,Defect!$B$2:$D$97,3,FALSE),IF(I39="SPARROW",VLOOKUP(J39,#REF!,3,FALSE),"")))="Unreviewed", 1, 0)</f>
        <v>0</v>
      </c>
    </row>
    <row r="40" spans="1:12">
      <c r="A40" s="31"/>
      <c r="B40" s="30"/>
      <c r="C40" s="8" t="s">
        <v>642</v>
      </c>
      <c r="D40" s="8" t="s">
        <v>641</v>
      </c>
      <c r="E40" s="8" t="s">
        <v>297</v>
      </c>
      <c r="F40" s="8" t="str">
        <f t="shared" si="8"/>
        <v>P</v>
      </c>
      <c r="G40" s="9">
        <f t="shared" si="9"/>
        <v>0</v>
      </c>
      <c r="H40" s="9">
        <f>IF(I40="CERT_C",VLOOKUP(J40,'CERT C'!$A$2:$D$94,4,FALSE),IF(I40="DEFECT",VLOOKUP(J40,Defect!$B$2:$C$97,2,FALSE),IF(I40="SPARROW",VLOOKUP(J40,#REF!,2,FALSE),"")))</f>
        <v>0</v>
      </c>
      <c r="I40" s="9" t="s">
        <v>309</v>
      </c>
      <c r="J40" s="13" t="s">
        <v>640</v>
      </c>
      <c r="K40" s="8">
        <f t="shared" si="10"/>
        <v>0</v>
      </c>
      <c r="L40" s="8">
        <f>IF(IF(I40="CERT_C",VLOOKUP(J40,'CERT C'!$A$2:$E$94,5,FALSE),IF(I40="DEFECT",VLOOKUP(J40,Defect!$B$2:$D$97,3,FALSE),IF(I40="SPARROW",VLOOKUP(J40,#REF!,3,FALSE),"")))="Unreviewed", 1, 0)</f>
        <v>0</v>
      </c>
    </row>
    <row r="41" spans="1:12">
      <c r="A41" s="31"/>
      <c r="B41" s="30"/>
      <c r="C41" s="25" t="s">
        <v>639</v>
      </c>
      <c r="D41" s="25" t="s">
        <v>638</v>
      </c>
      <c r="E41" s="25" t="s">
        <v>316</v>
      </c>
      <c r="F41" s="25" t="str">
        <f t="shared" si="8"/>
        <v>P</v>
      </c>
      <c r="G41" s="27">
        <f>SUMIF(H41:H43,"&lt;&gt;#N/A")</f>
        <v>0</v>
      </c>
      <c r="H41" s="9">
        <f>IF(I41="CERT_C",VLOOKUP(J41,'CERT C'!$A$2:$D$94,4,FALSE),IF(I41="DEFECT",VLOOKUP(J41,Defect!$B$2:$C$97,2,FALSE),IF(I41="SPARROW",VLOOKUP(J41,#REF!,2,FALSE),"")))</f>
        <v>0</v>
      </c>
      <c r="I41" s="9" t="s">
        <v>289</v>
      </c>
      <c r="J41" s="14" t="s">
        <v>637</v>
      </c>
      <c r="K41" s="25">
        <f>IF(SUM(L41:L43) &gt; 0, 1, 0)</f>
        <v>0</v>
      </c>
      <c r="L41" s="8">
        <f>IF(IF(I41="CERT_C",VLOOKUP(J41,'CERT C'!$A$2:$E$94,5,FALSE),IF(I41="DEFECT",VLOOKUP(J41,Defect!$B$2:$D$97,3,FALSE),IF(I41="SPARROW",VLOOKUP(J41,#REF!,3,FALSE),"")))="Unreviewed", 1, 0)</f>
        <v>0</v>
      </c>
    </row>
    <row r="42" spans="1:12">
      <c r="A42" s="31"/>
      <c r="B42" s="30"/>
      <c r="C42" s="30"/>
      <c r="D42" s="30"/>
      <c r="E42" s="30"/>
      <c r="F42" s="30"/>
      <c r="G42" s="29"/>
      <c r="H42" s="9">
        <f>IF(I42="CERT_C",VLOOKUP(J42,'CERT C'!$A$2:$D$94,4,FALSE),IF(I42="DEFECT",VLOOKUP(J42,Defect!$B$2:$C$97,2,FALSE),IF(I42="SPARROW",VLOOKUP(J42,#REF!,2,FALSE),"")))</f>
        <v>0</v>
      </c>
      <c r="I42" s="9" t="s">
        <v>289</v>
      </c>
      <c r="J42" s="14" t="s">
        <v>636</v>
      </c>
      <c r="K42" s="30"/>
      <c r="L42" s="8">
        <f>IF(IF(I42="CERT_C",VLOOKUP(J42,'CERT C'!$A$2:$E$94,5,FALSE),IF(I42="DEFECT",VLOOKUP(J42,Defect!$B$2:$D$97,3,FALSE),IF(I42="SPARROW",VLOOKUP(J42,#REF!,3,FALSE),"")))="Unreviewed", 1, 0)</f>
        <v>0</v>
      </c>
    </row>
    <row r="43" spans="1:12">
      <c r="A43" s="31"/>
      <c r="B43" s="26"/>
      <c r="C43" s="26"/>
      <c r="D43" s="26"/>
      <c r="E43" s="26"/>
      <c r="F43" s="26"/>
      <c r="G43" s="28"/>
      <c r="H43" s="9">
        <f>IF(I43="CERT_C",VLOOKUP(J43,'CERT C'!$A$2:$D$94,4,FALSE),IF(I43="DEFECT",VLOOKUP(J43,Defect!$B$2:$C$97,2,FALSE),IF(I43="SPARROW",VLOOKUP(J43,#REF!,2,FALSE),"")))</f>
        <v>0</v>
      </c>
      <c r="I43" s="9" t="s">
        <v>289</v>
      </c>
      <c r="J43" s="14" t="s">
        <v>635</v>
      </c>
      <c r="K43" s="26"/>
      <c r="L43" s="8">
        <f>IF(IF(I43="CERT_C",VLOOKUP(J43,'CERT C'!$A$2:$E$94,5,FALSE),IF(I43="DEFECT",VLOOKUP(J43,Defect!$B$2:$D$97,3,FALSE),IF(I43="SPARROW",VLOOKUP(J43,#REF!,3,FALSE),"")))="Unreviewed", 1, 0)</f>
        <v>0</v>
      </c>
    </row>
    <row r="44" spans="1:12">
      <c r="A44" s="31"/>
      <c r="B44" s="31" t="s">
        <v>634</v>
      </c>
      <c r="C44" s="8" t="s">
        <v>633</v>
      </c>
      <c r="D44" s="8" t="s">
        <v>632</v>
      </c>
      <c r="E44" s="8" t="s">
        <v>292</v>
      </c>
      <c r="F44" s="8" t="str">
        <f>IF(G44="","",IF(G44&lt;=0,"P","F"))</f>
        <v>P</v>
      </c>
      <c r="G44" s="9">
        <f>SUMIF(H44,"&lt;&gt;#N/A")</f>
        <v>0</v>
      </c>
      <c r="H44" s="9">
        <f>IF(I44="CERT_C",VLOOKUP(J44,'CERT C'!$A$2:$D$94,4,FALSE),IF(I44="DEFECT",VLOOKUP(J44,Defect!$B$2:$C$97,2,FALSE),IF(I44="SPARROW",VLOOKUP(J44,#REF!,2,FALSE),"")))</f>
        <v>0</v>
      </c>
      <c r="I44" s="9" t="s">
        <v>309</v>
      </c>
      <c r="J44" s="13" t="s">
        <v>631</v>
      </c>
      <c r="K44" s="8">
        <f>IF(SUM(L44) &gt; 0, 1, 0)</f>
        <v>0</v>
      </c>
      <c r="L44" s="8">
        <f>IF(IF(I44="CERT_C",VLOOKUP(J44,'CERT C'!$A$2:$E$94,5,FALSE),IF(I44="DEFECT",VLOOKUP(J44,Defect!$B$2:$D$97,3,FALSE),IF(I44="SPARROW",VLOOKUP(J44,#REF!,3,FALSE),"")))="Unreviewed", 1, 0)</f>
        <v>0</v>
      </c>
    </row>
    <row r="45" spans="1:12">
      <c r="A45" s="31"/>
      <c r="B45" s="31"/>
      <c r="C45" s="8" t="s">
        <v>630</v>
      </c>
      <c r="D45" s="8" t="s">
        <v>629</v>
      </c>
      <c r="E45" s="8" t="s">
        <v>292</v>
      </c>
      <c r="F45" s="8" t="str">
        <f>IF(G45="","",IF(G45&lt;=0,"P","F"))</f>
        <v>P</v>
      </c>
      <c r="G45" s="9">
        <f>SUMIF(H45,"&lt;&gt;#N/A")</f>
        <v>0</v>
      </c>
      <c r="H45" s="9">
        <f>IF(I45="CERT_C",VLOOKUP(J45,'CERT C'!$A$2:$D$94,4,FALSE),IF(I45="DEFECT",VLOOKUP(J45,Defect!$B$2:$C$97,2,FALSE),IF(I45="SPARROW",VLOOKUP(J45,#REF!,2,FALSE),"")))</f>
        <v>0</v>
      </c>
      <c r="I45" s="9" t="s">
        <v>309</v>
      </c>
      <c r="J45" s="14" t="s">
        <v>628</v>
      </c>
      <c r="K45" s="8">
        <f t="shared" ref="K45:K46" si="11">IF(SUM(L45) &gt; 0, 1, 0)</f>
        <v>0</v>
      </c>
      <c r="L45" s="8">
        <f>IF(IF(I45="CERT_C",VLOOKUP(J45,'CERT C'!$A$2:$E$94,5,FALSE),IF(I45="DEFECT",VLOOKUP(J45,Defect!$B$2:$D$97,3,FALSE),IF(I45="SPARROW",VLOOKUP(J45,#REF!,3,FALSE),"")))="Unreviewed", 1, 0)</f>
        <v>0</v>
      </c>
    </row>
    <row r="46" spans="1:12">
      <c r="A46" s="31"/>
      <c r="B46" s="31"/>
      <c r="C46" s="8" t="s">
        <v>627</v>
      </c>
      <c r="D46" s="8" t="s">
        <v>626</v>
      </c>
      <c r="E46" s="8" t="s">
        <v>297</v>
      </c>
      <c r="F46" s="8" t="str">
        <f>IF(G46="","",IF(G46&lt;=0,"P","F"))</f>
        <v>P</v>
      </c>
      <c r="G46" s="9">
        <f>SUMIF(H46,"&lt;&gt;#N/A")</f>
        <v>0</v>
      </c>
      <c r="H46" s="9">
        <f>IF(I46="CERT_C",VLOOKUP(J46,'CERT C'!$A$2:$D$94,4,FALSE),IF(I46="DEFECT",VLOOKUP(J46,Defect!$B$2:$C$97,2,FALSE),IF(I46="SPARROW",VLOOKUP(J46,#REF!,2,FALSE),"")))</f>
        <v>0</v>
      </c>
      <c r="I46" s="9" t="s">
        <v>309</v>
      </c>
      <c r="J46" s="13" t="s">
        <v>625</v>
      </c>
      <c r="K46" s="8">
        <f t="shared" si="11"/>
        <v>0</v>
      </c>
      <c r="L46" s="8">
        <f>IF(IF(I46="CERT_C",VLOOKUP(J46,'CERT C'!$A$2:$E$94,5,FALSE),IF(I46="DEFECT",VLOOKUP(J46,Defect!$B$2:$D$97,3,FALSE),IF(I46="SPARROW",VLOOKUP(J46,#REF!,3,FALSE),"")))="Unreviewed", 1, 0)</f>
        <v>0</v>
      </c>
    </row>
    <row r="47" spans="1:12">
      <c r="A47" s="31"/>
      <c r="B47" s="31"/>
      <c r="C47" s="25" t="s">
        <v>624</v>
      </c>
      <c r="D47" s="25" t="s">
        <v>623</v>
      </c>
      <c r="E47" s="25" t="s">
        <v>292</v>
      </c>
      <c r="F47" s="25" t="str">
        <f>IF(G47="","",IF(G47&lt;=0,"P","F"))</f>
        <v>P</v>
      </c>
      <c r="G47" s="27">
        <f>SUMIF(H47:H56,"&lt;&gt;#N/A")</f>
        <v>0</v>
      </c>
      <c r="H47" s="9">
        <f>IF(I47="CERT_C",VLOOKUP(J47,'CERT C'!$A$2:$D$94,4,FALSE),IF(I47="DEFECT",VLOOKUP(J47,Defect!$B$2:$C$97,2,FALSE),IF(I47="SPARROW",VLOOKUP(J47,#REF!,2,FALSE),"")))</f>
        <v>0</v>
      </c>
      <c r="I47" s="9" t="s">
        <v>289</v>
      </c>
      <c r="J47" s="14" t="s">
        <v>622</v>
      </c>
      <c r="K47" s="25">
        <f>IF(SUM(L47:L56) &gt; 0, 1, 0)</f>
        <v>0</v>
      </c>
      <c r="L47" s="8">
        <f>IF(IF(I47="CERT_C",VLOOKUP(J47,'CERT C'!$A$2:$E$94,5,FALSE),IF(I47="DEFECT",VLOOKUP(J47,Defect!$B$2:$D$97,3,FALSE),IF(I47="SPARROW",VLOOKUP(J47,#REF!,3,FALSE),"")))="Unreviewed", 1, 0)</f>
        <v>0</v>
      </c>
    </row>
    <row r="48" spans="1:12">
      <c r="A48" s="31"/>
      <c r="B48" s="31"/>
      <c r="C48" s="30"/>
      <c r="D48" s="30"/>
      <c r="E48" s="30"/>
      <c r="F48" s="30"/>
      <c r="G48" s="29"/>
      <c r="H48" s="9">
        <f>IF(I48="CERT_C",VLOOKUP(J48,'CERT C'!$A$2:$D$94,4,FALSE),IF(I48="DEFECT",VLOOKUP(J48,Defect!$B$2:$C$97,2,FALSE),IF(I48="SPARROW",VLOOKUP(J48,#REF!,2,FALSE),"")))</f>
        <v>0</v>
      </c>
      <c r="I48" s="9" t="s">
        <v>289</v>
      </c>
      <c r="J48" s="14" t="s">
        <v>621</v>
      </c>
      <c r="K48" s="30"/>
      <c r="L48" s="8">
        <f>IF(IF(I48="CERT_C",VLOOKUP(J48,'CERT C'!$A$2:$E$94,5,FALSE),IF(I48="DEFECT",VLOOKUP(J48,Defect!$B$2:$D$97,3,FALSE),IF(I48="SPARROW",VLOOKUP(J48,#REF!,3,FALSE),"")))="Unreviewed", 1, 0)</f>
        <v>0</v>
      </c>
    </row>
    <row r="49" spans="1:12">
      <c r="A49" s="31"/>
      <c r="B49" s="31"/>
      <c r="C49" s="30"/>
      <c r="D49" s="30"/>
      <c r="E49" s="30"/>
      <c r="F49" s="30"/>
      <c r="G49" s="29"/>
      <c r="H49" s="9">
        <f>IF(I49="CERT_C",VLOOKUP(J49,'CERT C'!$A$2:$D$94,4,FALSE),IF(I49="DEFECT",VLOOKUP(J49,Defect!$B$2:$C$97,2,FALSE),IF(I49="SPARROW",VLOOKUP(J49,#REF!,2,FALSE),"")))</f>
        <v>0</v>
      </c>
      <c r="I49" s="9" t="s">
        <v>289</v>
      </c>
      <c r="J49" s="14" t="s">
        <v>620</v>
      </c>
      <c r="K49" s="30"/>
      <c r="L49" s="8">
        <f>IF(IF(I49="CERT_C",VLOOKUP(J49,'CERT C'!$A$2:$E$94,5,FALSE),IF(I49="DEFECT",VLOOKUP(J49,Defect!$B$2:$D$97,3,FALSE),IF(I49="SPARROW",VLOOKUP(J49,#REF!,3,FALSE),"")))="Unreviewed", 1, 0)</f>
        <v>0</v>
      </c>
    </row>
    <row r="50" spans="1:12">
      <c r="A50" s="31"/>
      <c r="B50" s="31"/>
      <c r="C50" s="30"/>
      <c r="D50" s="30"/>
      <c r="E50" s="30"/>
      <c r="F50" s="30"/>
      <c r="G50" s="29"/>
      <c r="H50" s="9">
        <f>IF(I50="CERT_C",VLOOKUP(J50,'CERT C'!$A$2:$D$94,4,FALSE),IF(I50="DEFECT",VLOOKUP(J50,Defect!$B$2:$C$97,2,FALSE),IF(I50="SPARROW",VLOOKUP(J50,#REF!,2,FALSE),"")))</f>
        <v>0</v>
      </c>
      <c r="I50" s="9" t="s">
        <v>289</v>
      </c>
      <c r="J50" s="14" t="s">
        <v>619</v>
      </c>
      <c r="K50" s="30"/>
      <c r="L50" s="8">
        <f>IF(IF(I50="CERT_C",VLOOKUP(J50,'CERT C'!$A$2:$E$94,5,FALSE),IF(I50="DEFECT",VLOOKUP(J50,Defect!$B$2:$D$97,3,FALSE),IF(I50="SPARROW",VLOOKUP(J50,#REF!,3,FALSE),"")))="Unreviewed", 1, 0)</f>
        <v>0</v>
      </c>
    </row>
    <row r="51" spans="1:12">
      <c r="A51" s="31"/>
      <c r="B51" s="31"/>
      <c r="C51" s="30"/>
      <c r="D51" s="30"/>
      <c r="E51" s="30"/>
      <c r="F51" s="30"/>
      <c r="G51" s="29"/>
      <c r="H51" s="9">
        <f>IF(I51="CERT_C",VLOOKUP(J51,'CERT C'!$A$2:$D$94,4,FALSE),IF(I51="DEFECT",VLOOKUP(J51,Defect!$B$2:$C$97,2,FALSE),IF(I51="SPARROW",VLOOKUP(J51,#REF!,2,FALSE),"")))</f>
        <v>0</v>
      </c>
      <c r="I51" s="9" t="s">
        <v>289</v>
      </c>
      <c r="J51" s="14" t="s">
        <v>618</v>
      </c>
      <c r="K51" s="30"/>
      <c r="L51" s="8">
        <f>IF(IF(I51="CERT_C",VLOOKUP(J51,'CERT C'!$A$2:$E$94,5,FALSE),IF(I51="DEFECT",VLOOKUP(J51,Defect!$B$2:$D$97,3,FALSE),IF(I51="SPARROW",VLOOKUP(J51,#REF!,3,FALSE),"")))="Unreviewed", 1, 0)</f>
        <v>0</v>
      </c>
    </row>
    <row r="52" spans="1:12">
      <c r="A52" s="31"/>
      <c r="B52" s="31"/>
      <c r="C52" s="30"/>
      <c r="D52" s="30"/>
      <c r="E52" s="30"/>
      <c r="F52" s="30"/>
      <c r="G52" s="29"/>
      <c r="H52" s="9">
        <f>IF(I52="CERT_C",VLOOKUP(J52,'CERT C'!$A$2:$D$94,4,FALSE),IF(I52="DEFECT",VLOOKUP(J52,Defect!$B$2:$C$97,2,FALSE),IF(I52="SPARROW",VLOOKUP(J52,#REF!,2,FALSE),"")))</f>
        <v>0</v>
      </c>
      <c r="I52" s="9" t="s">
        <v>289</v>
      </c>
      <c r="J52" s="14" t="s">
        <v>617</v>
      </c>
      <c r="K52" s="30"/>
      <c r="L52" s="8">
        <f>IF(IF(I52="CERT_C",VLOOKUP(J52,'CERT C'!$A$2:$E$94,5,FALSE),IF(I52="DEFECT",VLOOKUP(J52,Defect!$B$2:$D$97,3,FALSE),IF(I52="SPARROW",VLOOKUP(J52,#REF!,3,FALSE),"")))="Unreviewed", 1, 0)</f>
        <v>0</v>
      </c>
    </row>
    <row r="53" spans="1:12">
      <c r="A53" s="31"/>
      <c r="B53" s="31"/>
      <c r="C53" s="30"/>
      <c r="D53" s="30"/>
      <c r="E53" s="30"/>
      <c r="F53" s="30"/>
      <c r="G53" s="29"/>
      <c r="H53" s="9">
        <f>IF(I53="CERT_C",VLOOKUP(J53,'CERT C'!$A$2:$D$94,4,FALSE),IF(I53="DEFECT",VLOOKUP(J53,Defect!$B$2:$C$97,2,FALSE),IF(I53="SPARROW",VLOOKUP(J53,#REF!,2,FALSE),"")))</f>
        <v>0</v>
      </c>
      <c r="I53" s="9" t="s">
        <v>289</v>
      </c>
      <c r="J53" s="14" t="s">
        <v>616</v>
      </c>
      <c r="K53" s="30"/>
      <c r="L53" s="8">
        <f>IF(IF(I53="CERT_C",VLOOKUP(J53,'CERT C'!$A$2:$E$94,5,FALSE),IF(I53="DEFECT",VLOOKUP(J53,Defect!$B$2:$D$97,3,FALSE),IF(I53="SPARROW",VLOOKUP(J53,#REF!,3,FALSE),"")))="Unreviewed", 1, 0)</f>
        <v>0</v>
      </c>
    </row>
    <row r="54" spans="1:12">
      <c r="A54" s="31"/>
      <c r="B54" s="31"/>
      <c r="C54" s="30"/>
      <c r="D54" s="30"/>
      <c r="E54" s="30"/>
      <c r="F54" s="30"/>
      <c r="G54" s="29"/>
      <c r="H54" s="9">
        <f>IF(I54="CERT_C",VLOOKUP(J54,'CERT C'!$A$2:$D$94,4,FALSE),IF(I54="DEFECT",VLOOKUP(J54,Defect!$B$2:$C$97,2,FALSE),IF(I54="SPARROW",VLOOKUP(J54,#REF!,2,FALSE),"")))</f>
        <v>0</v>
      </c>
      <c r="I54" s="9" t="s">
        <v>289</v>
      </c>
      <c r="J54" s="14" t="s">
        <v>615</v>
      </c>
      <c r="K54" s="30"/>
      <c r="L54" s="8">
        <f>IF(IF(I54="CERT_C",VLOOKUP(J54,'CERT C'!$A$2:$E$94,5,FALSE),IF(I54="DEFECT",VLOOKUP(J54,Defect!$B$2:$D$97,3,FALSE),IF(I54="SPARROW",VLOOKUP(J54,#REF!,3,FALSE),"")))="Unreviewed", 1, 0)</f>
        <v>0</v>
      </c>
    </row>
    <row r="55" spans="1:12">
      <c r="A55" s="31"/>
      <c r="B55" s="31"/>
      <c r="C55" s="30"/>
      <c r="D55" s="30"/>
      <c r="E55" s="30"/>
      <c r="F55" s="30"/>
      <c r="G55" s="29"/>
      <c r="H55" s="9">
        <f>IF(I55="CERT_C",VLOOKUP(J55,'CERT C'!$A$2:$D$94,4,FALSE),IF(I55="DEFECT",VLOOKUP(J55,Defect!$B$2:$C$97,2,FALSE),IF(I55="SPARROW",VLOOKUP(J55,#REF!,2,FALSE),"")))</f>
        <v>0</v>
      </c>
      <c r="I55" s="9" t="s">
        <v>289</v>
      </c>
      <c r="J55" s="14" t="s">
        <v>531</v>
      </c>
      <c r="K55" s="30"/>
      <c r="L55" s="8">
        <f>IF(IF(I55="CERT_C",VLOOKUP(J55,'CERT C'!$A$2:$E$94,5,FALSE),IF(I55="DEFECT",VLOOKUP(J55,Defect!$B$2:$D$97,3,FALSE),IF(I55="SPARROW",VLOOKUP(J55,#REF!,3,FALSE),"")))="Unreviewed", 1, 0)</f>
        <v>0</v>
      </c>
    </row>
    <row r="56" spans="1:12">
      <c r="A56" s="31"/>
      <c r="B56" s="31"/>
      <c r="C56" s="26"/>
      <c r="D56" s="26"/>
      <c r="E56" s="26"/>
      <c r="F56" s="26"/>
      <c r="G56" s="28"/>
      <c r="H56" s="9">
        <f>IF(I56="CERT_C",VLOOKUP(J56,'CERT C'!$A$2:$D$94,4,FALSE),IF(I56="DEFECT",VLOOKUP(J56,Defect!$B$2:$C$97,2,FALSE),IF(I56="SPARROW",VLOOKUP(J56,#REF!,2,FALSE),"")))</f>
        <v>0</v>
      </c>
      <c r="I56" s="9" t="s">
        <v>289</v>
      </c>
      <c r="J56" s="14" t="s">
        <v>614</v>
      </c>
      <c r="K56" s="26"/>
      <c r="L56" s="8">
        <f>IF(IF(I56="CERT_C",VLOOKUP(J56,'CERT C'!$A$2:$E$94,5,FALSE),IF(I56="DEFECT",VLOOKUP(J56,Defect!$B$2:$D$97,3,FALSE),IF(I56="SPARROW",VLOOKUP(J56,#REF!,3,FALSE),"")))="Unreviewed", 1, 0)</f>
        <v>0</v>
      </c>
    </row>
    <row r="57" spans="1:12">
      <c r="A57" s="31"/>
      <c r="B57" s="31"/>
      <c r="C57" s="8" t="s">
        <v>613</v>
      </c>
      <c r="D57" s="8" t="s">
        <v>785</v>
      </c>
      <c r="E57" s="8" t="s">
        <v>316</v>
      </c>
      <c r="F57" s="8" t="str">
        <f>IF(G57="","",IF(G57&lt;=0,"P","F"))</f>
        <v>P</v>
      </c>
      <c r="G57" s="9">
        <f>SUMIF(H57,"&lt;&gt;#N/A")</f>
        <v>0</v>
      </c>
      <c r="H57" s="9">
        <f>IF(I57="CERT_C",VLOOKUP(J57,'CERT C'!$A$2:$D$94,4,FALSE),IF(I57="DEFECT",VLOOKUP(J57,Defect!$B$2:$C$97,2,FALSE),IF(I57="SPARROW",VLOOKUP(J57,#REF!,2,FALSE),"")))</f>
        <v>0</v>
      </c>
      <c r="I57" s="9" t="s">
        <v>289</v>
      </c>
      <c r="J57" s="14" t="s">
        <v>612</v>
      </c>
      <c r="K57" s="8">
        <f>IF(SUM(L57) &gt; 0, 1, 0)</f>
        <v>0</v>
      </c>
      <c r="L57" s="8">
        <f>IF(IF(I57="CERT_C",VLOOKUP(J57,'CERT C'!$A$2:$E$94,5,FALSE),IF(I57="DEFECT",VLOOKUP(J57,Defect!$B$2:$D$97,3,FALSE),IF(I57="SPARROW",VLOOKUP(J57,#REF!,3,FALSE),"")))="Unreviewed", 1, 0)</f>
        <v>0</v>
      </c>
    </row>
    <row r="58" spans="1:12">
      <c r="A58" s="31"/>
      <c r="B58" s="31"/>
      <c r="C58" s="8" t="s">
        <v>611</v>
      </c>
      <c r="D58" s="8" t="s">
        <v>610</v>
      </c>
      <c r="E58" s="8" t="s">
        <v>292</v>
      </c>
      <c r="F58" s="8" t="str">
        <f>IF(G58="","",IF(G58&lt;=0,"P","F"))</f>
        <v>P</v>
      </c>
      <c r="G58" s="9">
        <f>SUMIF(H58,"&lt;&gt;#N/A")</f>
        <v>0</v>
      </c>
      <c r="H58" s="9">
        <f>IF(I58="CERT_C",VLOOKUP(J58,'CERT C'!$A$2:$D$94,4,FALSE),IF(I58="DEFECT",VLOOKUP(J58,Defect!$B$2:$C$97,2,FALSE),IF(I58="SPARROW",VLOOKUP(J58,#REF!,2,FALSE),"")))</f>
        <v>0</v>
      </c>
      <c r="I58" s="9" t="s">
        <v>289</v>
      </c>
      <c r="J58" s="13" t="s">
        <v>609</v>
      </c>
      <c r="K58" s="8">
        <f t="shared" ref="K58:K59" si="12">IF(SUM(L58) &gt; 0, 1, 0)</f>
        <v>0</v>
      </c>
      <c r="L58" s="8">
        <f>IF(IF(I58="CERT_C",VLOOKUP(J58,'CERT C'!$A$2:$E$94,5,FALSE),IF(I58="DEFECT",VLOOKUP(J58,Defect!$B$2:$D$97,3,FALSE),IF(I58="SPARROW",VLOOKUP(J58,#REF!,3,FALSE),"")))="Unreviewed", 1, 0)</f>
        <v>0</v>
      </c>
    </row>
    <row r="59" spans="1:12">
      <c r="A59" s="31"/>
      <c r="B59" s="31"/>
      <c r="C59" s="8" t="s">
        <v>608</v>
      </c>
      <c r="D59" s="8" t="s">
        <v>607</v>
      </c>
      <c r="E59" s="8" t="s">
        <v>297</v>
      </c>
      <c r="F59" s="8" t="str">
        <f>IF(G59="","",IF(G59&lt;=0,"P","F"))</f>
        <v>P</v>
      </c>
      <c r="G59" s="9">
        <f>SUMIF(H59,"&lt;&gt;#N/A")</f>
        <v>0</v>
      </c>
      <c r="H59" s="9">
        <f>IF(I59="CERT_C",VLOOKUP(J59,'CERT C'!$A$2:$D$94,4,FALSE),IF(I59="DEFECT",VLOOKUP(J59,Defect!$B$2:$C$97,2,FALSE),IF(I59="SPARROW",VLOOKUP(J59,#REF!,2,FALSE),"")))</f>
        <v>0</v>
      </c>
      <c r="I59" s="9" t="s">
        <v>289</v>
      </c>
      <c r="J59" s="13" t="s">
        <v>606</v>
      </c>
      <c r="K59" s="8">
        <f t="shared" si="12"/>
        <v>0</v>
      </c>
      <c r="L59" s="8">
        <f>IF(IF(I59="CERT_C",VLOOKUP(J59,'CERT C'!$A$2:$E$94,5,FALSE),IF(I59="DEFECT",VLOOKUP(J59,Defect!$B$2:$D$97,3,FALSE),IF(I59="SPARROW",VLOOKUP(J59,#REF!,3,FALSE),"")))="Unreviewed", 1, 0)</f>
        <v>0</v>
      </c>
    </row>
    <row r="60" spans="1:12">
      <c r="A60" s="31"/>
      <c r="B60" s="31"/>
      <c r="C60" s="25" t="s">
        <v>605</v>
      </c>
      <c r="D60" s="25" t="s">
        <v>604</v>
      </c>
      <c r="E60" s="25" t="s">
        <v>292</v>
      </c>
      <c r="F60" s="25" t="str">
        <f>IF(G60="","",IF(G60&lt;=0,"P","F"))</f>
        <v>P</v>
      </c>
      <c r="G60" s="27">
        <f>SUMIF(H60:H61,"&lt;&gt;#N/A")</f>
        <v>0</v>
      </c>
      <c r="H60" s="9" t="str">
        <f>IF(I60="CERT_C",VLOOKUP(J60,'CERT C'!$A$2:$D$94,4,FALSE),IF(I60="DEFECT",VLOOKUP(J60,Defect!$B$2:$C$97,2,FALSE),IF(I60="SPARROW",VLOOKUP(J60,#REF!,2,FALSE),"")))</f>
        <v/>
      </c>
      <c r="I60" s="9" t="s">
        <v>602</v>
      </c>
      <c r="J60" s="14" t="s">
        <v>603</v>
      </c>
      <c r="K60" s="25">
        <f>IF(SUM(L60:L61) &gt; 0, 1, 0)</f>
        <v>0</v>
      </c>
      <c r="L60" s="8">
        <f>IF(IF(I60="CERT_C",VLOOKUP(J60,'CERT C'!$A$2:$E$94,5,FALSE),IF(I60="DEFECT",VLOOKUP(J60,Defect!$B$2:$D$97,3,FALSE),IF(I60="SPARROW",VLOOKUP(J60,#REF!,3,FALSE),"")))="Unreviewed", 1, 0)</f>
        <v>0</v>
      </c>
    </row>
    <row r="61" spans="1:12">
      <c r="A61" s="31"/>
      <c r="B61" s="31"/>
      <c r="C61" s="26"/>
      <c r="D61" s="26"/>
      <c r="E61" s="26"/>
      <c r="F61" s="26"/>
      <c r="G61" s="28"/>
      <c r="H61" s="9" t="str">
        <f>IF(I61="CERT_C",VLOOKUP(J61,'CERT C'!$A$2:$D$94,4,FALSE),IF(I61="DEFECT",VLOOKUP(J61,Defect!$B$2:$C$97,2,FALSE),IF(I61="SPARROW",VLOOKUP(J61,#REF!,2,FALSE),"")))</f>
        <v/>
      </c>
      <c r="I61" s="9" t="s">
        <v>602</v>
      </c>
      <c r="J61" s="14" t="s">
        <v>601</v>
      </c>
      <c r="K61" s="26"/>
      <c r="L61" s="8">
        <f>IF(IF(I61="CERT_C",VLOOKUP(J61,'CERT C'!$A$2:$E$94,5,FALSE),IF(I61="DEFECT",VLOOKUP(J61,Defect!$B$2:$D$97,3,FALSE),IF(I61="SPARROW",VLOOKUP(J61,#REF!,3,FALSE),"")))="Unreviewed", 1, 0)</f>
        <v>0</v>
      </c>
    </row>
    <row r="62" spans="1:12">
      <c r="A62" s="31"/>
      <c r="B62" s="31"/>
      <c r="C62" s="8" t="s">
        <v>600</v>
      </c>
      <c r="D62" s="8" t="s">
        <v>599</v>
      </c>
      <c r="E62" s="8" t="s">
        <v>297</v>
      </c>
      <c r="F62" s="8" t="str">
        <f t="shared" ref="F62:F80" si="13">IF(G62="","",IF(G62&lt;=0,"P","F"))</f>
        <v>P</v>
      </c>
      <c r="G62" s="9">
        <f t="shared" ref="G62:G79" si="14">SUMIF(H62,"&lt;&gt;#N/A")</f>
        <v>0</v>
      </c>
      <c r="H62" s="9">
        <f>IF(I62="CERT_C",VLOOKUP(J62,'CERT C'!$A$2:$D$94,4,FALSE),IF(I62="DEFECT",VLOOKUP(J62,Defect!$B$2:$C$97,2,FALSE),IF(I62="SPARROW",VLOOKUP(J62,#REF!,2,FALSE),"")))</f>
        <v>0</v>
      </c>
      <c r="I62" s="9" t="s">
        <v>309</v>
      </c>
      <c r="J62" s="13" t="s">
        <v>598</v>
      </c>
      <c r="K62" s="8">
        <f>IF(SUM(L62) &gt; 0, 1, 0)</f>
        <v>0</v>
      </c>
      <c r="L62" s="8">
        <f>IF(IF(I62="CERT_C",VLOOKUP(J62,'CERT C'!$A$2:$E$94,5,FALSE),IF(I62="DEFECT",VLOOKUP(J62,Defect!$B$2:$D$97,3,FALSE),IF(I62="SPARROW",VLOOKUP(J62,#REF!,3,FALSE),"")))="Unreviewed", 1, 0)</f>
        <v>0</v>
      </c>
    </row>
    <row r="63" spans="1:12">
      <c r="A63" s="31"/>
      <c r="B63" s="31"/>
      <c r="C63" s="8" t="s">
        <v>597</v>
      </c>
      <c r="D63" s="8" t="s">
        <v>596</v>
      </c>
      <c r="E63" s="8" t="s">
        <v>316</v>
      </c>
      <c r="F63" s="8" t="str">
        <f t="shared" si="13"/>
        <v>P</v>
      </c>
      <c r="G63" s="9">
        <f t="shared" si="14"/>
        <v>0</v>
      </c>
      <c r="H63" s="9">
        <f>IF(I63="CERT_C",VLOOKUP(J63,'CERT C'!$A$2:$D$94,4,FALSE),IF(I63="DEFECT",VLOOKUP(J63,Defect!$B$2:$C$97,2,FALSE),IF(I63="SPARROW",VLOOKUP(J63,#REF!,2,FALSE),"")))</f>
        <v>0</v>
      </c>
      <c r="I63" s="9" t="s">
        <v>309</v>
      </c>
      <c r="J63" s="13" t="s">
        <v>595</v>
      </c>
      <c r="K63" s="8">
        <f t="shared" ref="K63:K79" si="15">IF(SUM(L63) &gt; 0, 1, 0)</f>
        <v>0</v>
      </c>
      <c r="L63" s="8">
        <f>IF(IF(I63="CERT_C",VLOOKUP(J63,'CERT C'!$A$2:$E$94,5,FALSE),IF(I63="DEFECT",VLOOKUP(J63,Defect!$B$2:$D$97,3,FALSE),IF(I63="SPARROW",VLOOKUP(J63,#REF!,3,FALSE),"")))="Unreviewed", 1, 0)</f>
        <v>0</v>
      </c>
    </row>
    <row r="64" spans="1:12">
      <c r="A64" s="31"/>
      <c r="B64" s="31"/>
      <c r="C64" s="8" t="s">
        <v>594</v>
      </c>
      <c r="D64" s="8" t="s">
        <v>593</v>
      </c>
      <c r="E64" s="8" t="s">
        <v>292</v>
      </c>
      <c r="F64" s="8" t="str">
        <f t="shared" si="13"/>
        <v>P</v>
      </c>
      <c r="G64" s="9">
        <f t="shared" si="14"/>
        <v>0</v>
      </c>
      <c r="H64" s="9">
        <f>IF(I64="CERT_C",VLOOKUP(J64,'CERT C'!$A$2:$D$94,4,FALSE),IF(I64="DEFECT",VLOOKUP(J64,Defect!$B$2:$C$97,2,FALSE),IF(I64="SPARROW",VLOOKUP(J64,#REF!,2,FALSE),"")))</f>
        <v>0</v>
      </c>
      <c r="I64" s="9" t="s">
        <v>309</v>
      </c>
      <c r="J64" s="14" t="s">
        <v>592</v>
      </c>
      <c r="K64" s="8">
        <f t="shared" si="15"/>
        <v>0</v>
      </c>
      <c r="L64" s="8">
        <f>IF(IF(I64="CERT_C",VLOOKUP(J64,'CERT C'!$A$2:$E$94,5,FALSE),IF(I64="DEFECT",VLOOKUP(J64,Defect!$B$2:$D$97,3,FALSE),IF(I64="SPARROW",VLOOKUP(J64,#REF!,3,FALSE),"")))="Unreviewed", 1, 0)</f>
        <v>0</v>
      </c>
    </row>
    <row r="65" spans="1:12">
      <c r="A65" s="31"/>
      <c r="B65" s="31"/>
      <c r="C65" s="8" t="s">
        <v>591</v>
      </c>
      <c r="D65" s="8" t="s">
        <v>590</v>
      </c>
      <c r="E65" s="8" t="s">
        <v>316</v>
      </c>
      <c r="F65" s="8" t="str">
        <f t="shared" si="13"/>
        <v>P</v>
      </c>
      <c r="G65" s="9">
        <f t="shared" si="14"/>
        <v>0</v>
      </c>
      <c r="H65" s="9">
        <f>IF(I65="CERT_C",VLOOKUP(J65,'CERT C'!$A$2:$D$94,4,FALSE),IF(I65="DEFECT",VLOOKUP(J65,Defect!$B$2:$C$97,2,FALSE),IF(I65="SPARROW",VLOOKUP(J65,#REF!,2,FALSE),"")))</f>
        <v>0</v>
      </c>
      <c r="I65" s="9" t="s">
        <v>309</v>
      </c>
      <c r="J65" s="14" t="s">
        <v>589</v>
      </c>
      <c r="K65" s="8">
        <f t="shared" si="15"/>
        <v>0</v>
      </c>
      <c r="L65" s="8">
        <f>IF(IF(I65="CERT_C",VLOOKUP(J65,'CERT C'!$A$2:$E$94,5,FALSE),IF(I65="DEFECT",VLOOKUP(J65,Defect!$B$2:$D$97,3,FALSE),IF(I65="SPARROW",VLOOKUP(J65,#REF!,3,FALSE),"")))="Unreviewed", 1, 0)</f>
        <v>0</v>
      </c>
    </row>
    <row r="66" spans="1:12">
      <c r="A66" s="31"/>
      <c r="B66" s="31"/>
      <c r="C66" s="8" t="s">
        <v>588</v>
      </c>
      <c r="D66" s="8" t="s">
        <v>587</v>
      </c>
      <c r="E66" s="8" t="s">
        <v>292</v>
      </c>
      <c r="F66" s="8" t="str">
        <f t="shared" si="13"/>
        <v>P</v>
      </c>
      <c r="G66" s="9">
        <f t="shared" si="14"/>
        <v>0</v>
      </c>
      <c r="H66" s="9">
        <f>IF(I66="CERT_C",VLOOKUP(J66,'CERT C'!$A$2:$D$94,4,FALSE),IF(I66="DEFECT",VLOOKUP(J66,Defect!$B$2:$C$97,2,FALSE),IF(I66="SPARROW",VLOOKUP(J66,#REF!,2,FALSE),"")))</f>
        <v>0</v>
      </c>
      <c r="I66" s="9" t="s">
        <v>309</v>
      </c>
      <c r="J66" s="14" t="s">
        <v>586</v>
      </c>
      <c r="K66" s="8">
        <f t="shared" si="15"/>
        <v>0</v>
      </c>
      <c r="L66" s="8">
        <f>IF(IF(I66="CERT_C",VLOOKUP(J66,'CERT C'!$A$2:$E$94,5,FALSE),IF(I66="DEFECT",VLOOKUP(J66,Defect!$B$2:$D$97,3,FALSE),IF(I66="SPARROW",VLOOKUP(J66,#REF!,3,FALSE),"")))="Unreviewed", 1, 0)</f>
        <v>0</v>
      </c>
    </row>
    <row r="67" spans="1:12">
      <c r="A67" s="31"/>
      <c r="B67" s="31"/>
      <c r="C67" s="8" t="s">
        <v>585</v>
      </c>
      <c r="D67" s="8" t="s">
        <v>584</v>
      </c>
      <c r="E67" s="8" t="s">
        <v>292</v>
      </c>
      <c r="F67" s="8" t="str">
        <f t="shared" si="13"/>
        <v>P</v>
      </c>
      <c r="G67" s="9">
        <f t="shared" si="14"/>
        <v>0</v>
      </c>
      <c r="H67" s="9">
        <f>IF(I67="CERT_C",VLOOKUP(J67,'CERT C'!$A$2:$D$94,4,FALSE),IF(I67="DEFECT",VLOOKUP(J67,Defect!$B$2:$C$97,2,FALSE),IF(I67="SPARROW",VLOOKUP(J67,#REF!,2,FALSE),"")))</f>
        <v>0</v>
      </c>
      <c r="I67" s="9" t="s">
        <v>309</v>
      </c>
      <c r="J67" s="14" t="s">
        <v>583</v>
      </c>
      <c r="K67" s="8">
        <f t="shared" si="15"/>
        <v>0</v>
      </c>
      <c r="L67" s="8">
        <f>IF(IF(I67="CERT_C",VLOOKUP(J67,'CERT C'!$A$2:$E$94,5,FALSE),IF(I67="DEFECT",VLOOKUP(J67,Defect!$B$2:$D$97,3,FALSE),IF(I67="SPARROW",VLOOKUP(J67,#REF!,3,FALSE),"")))="Unreviewed", 1, 0)</f>
        <v>0</v>
      </c>
    </row>
    <row r="68" spans="1:12">
      <c r="A68" s="31"/>
      <c r="B68" s="31"/>
      <c r="C68" s="8" t="s">
        <v>582</v>
      </c>
      <c r="D68" s="8" t="s">
        <v>581</v>
      </c>
      <c r="E68" s="8" t="s">
        <v>316</v>
      </c>
      <c r="F68" s="8" t="str">
        <f t="shared" si="13"/>
        <v>P</v>
      </c>
      <c r="G68" s="9">
        <f t="shared" si="14"/>
        <v>0</v>
      </c>
      <c r="H68" s="9">
        <f>IF(I68="CERT_C",VLOOKUP(J68,'CERT C'!$A$2:$D$94,4,FALSE),IF(I68="DEFECT",VLOOKUP(J68,Defect!$B$2:$C$97,2,FALSE),IF(I68="SPARROW",VLOOKUP(J68,#REF!,2,FALSE),"")))</f>
        <v>0</v>
      </c>
      <c r="I68" s="9" t="s">
        <v>309</v>
      </c>
      <c r="J68" s="14" t="s">
        <v>580</v>
      </c>
      <c r="K68" s="8">
        <f t="shared" si="15"/>
        <v>0</v>
      </c>
      <c r="L68" s="8">
        <f>IF(IF(I68="CERT_C",VLOOKUP(J68,'CERT C'!$A$2:$E$94,5,FALSE),IF(I68="DEFECT",VLOOKUP(J68,Defect!$B$2:$D$97,3,FALSE),IF(I68="SPARROW",VLOOKUP(J68,#REF!,3,FALSE),"")))="Unreviewed", 1, 0)</f>
        <v>0</v>
      </c>
    </row>
    <row r="69" spans="1:12">
      <c r="A69" s="31"/>
      <c r="B69" s="31"/>
      <c r="C69" s="8" t="s">
        <v>579</v>
      </c>
      <c r="D69" s="8" t="s">
        <v>578</v>
      </c>
      <c r="E69" s="8" t="s">
        <v>316</v>
      </c>
      <c r="F69" s="8" t="str">
        <f t="shared" si="13"/>
        <v>P</v>
      </c>
      <c r="G69" s="9">
        <f t="shared" si="14"/>
        <v>0</v>
      </c>
      <c r="H69" s="9">
        <f>IF(I69="CERT_C",VLOOKUP(J69,'CERT C'!$A$2:$D$94,4,FALSE),IF(I69="DEFECT",VLOOKUP(J69,Defect!$B$2:$C$97,2,FALSE),IF(I69="SPARROW",VLOOKUP(J69,#REF!,2,FALSE),"")))</f>
        <v>0</v>
      </c>
      <c r="I69" s="9" t="s">
        <v>309</v>
      </c>
      <c r="J69" s="14" t="s">
        <v>577</v>
      </c>
      <c r="K69" s="8">
        <f t="shared" si="15"/>
        <v>0</v>
      </c>
      <c r="L69" s="8">
        <f>IF(IF(I69="CERT_C",VLOOKUP(J69,'CERT C'!$A$2:$E$94,5,FALSE),IF(I69="DEFECT",VLOOKUP(J69,Defect!$B$2:$D$97,3,FALSE),IF(I69="SPARROW",VLOOKUP(J69,#REF!,3,FALSE),"")))="Unreviewed", 1, 0)</f>
        <v>0</v>
      </c>
    </row>
    <row r="70" spans="1:12">
      <c r="A70" s="31"/>
      <c r="B70" s="31"/>
      <c r="C70" s="8" t="s">
        <v>576</v>
      </c>
      <c r="D70" s="8" t="s">
        <v>575</v>
      </c>
      <c r="E70" s="8" t="s">
        <v>316</v>
      </c>
      <c r="F70" s="8" t="str">
        <f t="shared" si="13"/>
        <v>P</v>
      </c>
      <c r="G70" s="9">
        <f t="shared" si="14"/>
        <v>0</v>
      </c>
      <c r="H70" s="9">
        <f>IF(I70="CERT_C",VLOOKUP(J70,'CERT C'!$A$2:$D$94,4,FALSE),IF(I70="DEFECT",VLOOKUP(J70,Defect!$B$2:$C$97,2,FALSE),IF(I70="SPARROW",VLOOKUP(J70,#REF!,2,FALSE),"")))</f>
        <v>0</v>
      </c>
      <c r="I70" s="9" t="s">
        <v>309</v>
      </c>
      <c r="J70" s="14" t="s">
        <v>574</v>
      </c>
      <c r="K70" s="8">
        <f t="shared" si="15"/>
        <v>0</v>
      </c>
      <c r="L70" s="8">
        <f>IF(IF(I70="CERT_C",VLOOKUP(J70,'CERT C'!$A$2:$E$94,5,FALSE),IF(I70="DEFECT",VLOOKUP(J70,Defect!$B$2:$D$97,3,FALSE),IF(I70="SPARROW",VLOOKUP(J70,#REF!,3,FALSE),"")))="Unreviewed", 1, 0)</f>
        <v>0</v>
      </c>
    </row>
    <row r="71" spans="1:12">
      <c r="A71" s="31"/>
      <c r="B71" s="31"/>
      <c r="C71" s="8" t="s">
        <v>573</v>
      </c>
      <c r="D71" s="8" t="s">
        <v>572</v>
      </c>
      <c r="E71" s="8" t="s">
        <v>292</v>
      </c>
      <c r="F71" s="8" t="str">
        <f t="shared" si="13"/>
        <v>P</v>
      </c>
      <c r="G71" s="9">
        <f t="shared" si="14"/>
        <v>0</v>
      </c>
      <c r="H71" s="9">
        <f>IF(I71="CERT_C",VLOOKUP(J71,'CERT C'!$A$2:$D$94,4,FALSE),IF(I71="DEFECT",VLOOKUP(J71,Defect!$B$2:$C$97,2,FALSE),IF(I71="SPARROW",VLOOKUP(J71,#REF!,2,FALSE),"")))</f>
        <v>0</v>
      </c>
      <c r="I71" s="9" t="s">
        <v>309</v>
      </c>
      <c r="J71" s="13" t="s">
        <v>571</v>
      </c>
      <c r="K71" s="8">
        <f t="shared" si="15"/>
        <v>0</v>
      </c>
      <c r="L71" s="8">
        <f>IF(IF(I71="CERT_C",VLOOKUP(J71,'CERT C'!$A$2:$E$94,5,FALSE),IF(I71="DEFECT",VLOOKUP(J71,Defect!$B$2:$D$97,3,FALSE),IF(I71="SPARROW",VLOOKUP(J71,#REF!,3,FALSE),"")))="Unreviewed", 1, 0)</f>
        <v>0</v>
      </c>
    </row>
    <row r="72" spans="1:12">
      <c r="A72" s="31"/>
      <c r="B72" s="31"/>
      <c r="C72" s="8" t="s">
        <v>570</v>
      </c>
      <c r="D72" s="8" t="s">
        <v>569</v>
      </c>
      <c r="E72" s="8" t="s">
        <v>292</v>
      </c>
      <c r="F72" s="8" t="str">
        <f t="shared" si="13"/>
        <v>P</v>
      </c>
      <c r="G72" s="9">
        <f t="shared" si="14"/>
        <v>0</v>
      </c>
      <c r="H72" s="9">
        <f>IF(I72="CERT_C",VLOOKUP(J72,'CERT C'!$A$2:$D$94,4,FALSE),IF(I72="DEFECT",VLOOKUP(J72,Defect!$B$2:$C$97,2,FALSE),IF(I72="SPARROW",VLOOKUP(J72,#REF!,2,FALSE),"")))</f>
        <v>0</v>
      </c>
      <c r="I72" s="9" t="s">
        <v>289</v>
      </c>
      <c r="J72" s="13" t="s">
        <v>568</v>
      </c>
      <c r="K72" s="8">
        <f t="shared" si="15"/>
        <v>0</v>
      </c>
      <c r="L72" s="8">
        <f>IF(IF(I72="CERT_C",VLOOKUP(J72,'CERT C'!$A$2:$E$94,5,FALSE),IF(I72="DEFECT",VLOOKUP(J72,Defect!$B$2:$D$97,3,FALSE),IF(I72="SPARROW",VLOOKUP(J72,#REF!,3,FALSE),"")))="Unreviewed", 1, 0)</f>
        <v>0</v>
      </c>
    </row>
    <row r="73" spans="1:12">
      <c r="A73" s="31"/>
      <c r="B73" s="25" t="s">
        <v>567</v>
      </c>
      <c r="C73" s="8" t="s">
        <v>566</v>
      </c>
      <c r="D73" s="8" t="s">
        <v>565</v>
      </c>
      <c r="E73" s="8" t="s">
        <v>297</v>
      </c>
      <c r="F73" s="8" t="str">
        <f t="shared" si="13"/>
        <v>P</v>
      </c>
      <c r="G73" s="9">
        <f t="shared" si="14"/>
        <v>0</v>
      </c>
      <c r="H73" s="9">
        <f>IF(I73="CERT_C",VLOOKUP(J73,'CERT C'!$A$2:$D$94,4,FALSE),IF(I73="DEFECT",VLOOKUP(J73,Defect!$B$2:$C$97,2,FALSE),IF(I73="SPARROW",VLOOKUP(J73,#REF!,2,FALSE),"")))</f>
        <v>0</v>
      </c>
      <c r="I73" s="9" t="s">
        <v>309</v>
      </c>
      <c r="J73" s="14" t="s">
        <v>564</v>
      </c>
      <c r="K73" s="8">
        <f t="shared" si="15"/>
        <v>0</v>
      </c>
      <c r="L73" s="8">
        <f>IF(IF(I73="CERT_C",VLOOKUP(J73,'CERT C'!$A$2:$E$94,5,FALSE),IF(I73="DEFECT",VLOOKUP(J73,Defect!$B$2:$D$97,3,FALSE),IF(I73="SPARROW",VLOOKUP(J73,#REF!,3,FALSE),"")))="Unreviewed", 1, 0)</f>
        <v>0</v>
      </c>
    </row>
    <row r="74" spans="1:12">
      <c r="A74" s="31"/>
      <c r="B74" s="30"/>
      <c r="C74" s="8" t="s">
        <v>563</v>
      </c>
      <c r="D74" s="8" t="s">
        <v>562</v>
      </c>
      <c r="E74" s="8" t="s">
        <v>297</v>
      </c>
      <c r="F74" s="8" t="str">
        <f t="shared" si="13"/>
        <v>P</v>
      </c>
      <c r="G74" s="9">
        <f t="shared" si="14"/>
        <v>0</v>
      </c>
      <c r="H74" s="9">
        <f>IF(I74="CERT_C",VLOOKUP(J74,'CERT C'!$A$2:$D$94,4,FALSE),IF(I74="DEFECT",VLOOKUP(J74,Defect!$B$2:$C$97,2,FALSE),IF(I74="SPARROW",VLOOKUP(J74,#REF!,2,FALSE),"")))</f>
        <v>0</v>
      </c>
      <c r="I74" s="9" t="s">
        <v>309</v>
      </c>
      <c r="J74" s="14" t="s">
        <v>561</v>
      </c>
      <c r="K74" s="8">
        <f t="shared" si="15"/>
        <v>0</v>
      </c>
      <c r="L74" s="8">
        <f>IF(IF(I74="CERT_C",VLOOKUP(J74,'CERT C'!$A$2:$E$94,5,FALSE),IF(I74="DEFECT",VLOOKUP(J74,Defect!$B$2:$D$97,3,FALSE),IF(I74="SPARROW",VLOOKUP(J74,#REF!,3,FALSE),"")))="Unreviewed", 1, 0)</f>
        <v>0</v>
      </c>
    </row>
    <row r="75" spans="1:12">
      <c r="A75" s="31"/>
      <c r="B75" s="30"/>
      <c r="C75" s="8" t="s">
        <v>560</v>
      </c>
      <c r="D75" s="8" t="s">
        <v>559</v>
      </c>
      <c r="E75" s="8" t="s">
        <v>292</v>
      </c>
      <c r="F75" s="8" t="str">
        <f t="shared" si="13"/>
        <v>P</v>
      </c>
      <c r="G75" s="9">
        <f t="shared" si="14"/>
        <v>0</v>
      </c>
      <c r="H75" s="9">
        <f>IF(I75="CERT_C",VLOOKUP(J75,'CERT C'!$A$2:$D$94,4,FALSE),IF(I75="DEFECT",VLOOKUP(J75,Defect!$B$2:$C$97,2,FALSE),IF(I75="SPARROW",VLOOKUP(J75,#REF!,2,FALSE),"")))</f>
        <v>0</v>
      </c>
      <c r="I75" s="9" t="s">
        <v>309</v>
      </c>
      <c r="J75" s="13" t="s">
        <v>558</v>
      </c>
      <c r="K75" s="8">
        <f t="shared" si="15"/>
        <v>0</v>
      </c>
      <c r="L75" s="8">
        <f>IF(IF(I75="CERT_C",VLOOKUP(J75,'CERT C'!$A$2:$E$94,5,FALSE),IF(I75="DEFECT",VLOOKUP(J75,Defect!$B$2:$D$97,3,FALSE),IF(I75="SPARROW",VLOOKUP(J75,#REF!,3,FALSE),"")))="Unreviewed", 1, 0)</f>
        <v>0</v>
      </c>
    </row>
    <row r="76" spans="1:12">
      <c r="A76" s="31"/>
      <c r="B76" s="30"/>
      <c r="C76" s="8" t="s">
        <v>557</v>
      </c>
      <c r="D76" s="8" t="s">
        <v>556</v>
      </c>
      <c r="E76" s="8" t="s">
        <v>292</v>
      </c>
      <c r="F76" s="8" t="str">
        <f t="shared" si="13"/>
        <v>P</v>
      </c>
      <c r="G76" s="9">
        <f t="shared" si="14"/>
        <v>0</v>
      </c>
      <c r="H76" s="9">
        <f>IF(I76="CERT_C",VLOOKUP(J76,'CERT C'!$A$2:$D$94,4,FALSE),IF(I76="DEFECT",VLOOKUP(J76,Defect!$B$2:$C$97,2,FALSE),IF(I76="SPARROW",VLOOKUP(J76,#REF!,2,FALSE),"")))</f>
        <v>0</v>
      </c>
      <c r="I76" s="9" t="s">
        <v>309</v>
      </c>
      <c r="J76" s="13" t="s">
        <v>555</v>
      </c>
      <c r="K76" s="8">
        <f t="shared" si="15"/>
        <v>0</v>
      </c>
      <c r="L76" s="8">
        <f>IF(IF(I76="CERT_C",VLOOKUP(J76,'CERT C'!$A$2:$E$94,5,FALSE),IF(I76="DEFECT",VLOOKUP(J76,Defect!$B$2:$D$97,3,FALSE),IF(I76="SPARROW",VLOOKUP(J76,#REF!,3,FALSE),"")))="Unreviewed", 1, 0)</f>
        <v>0</v>
      </c>
    </row>
    <row r="77" spans="1:12">
      <c r="A77" s="31"/>
      <c r="B77" s="30"/>
      <c r="C77" s="8" t="s">
        <v>554</v>
      </c>
      <c r="D77" s="8" t="s">
        <v>553</v>
      </c>
      <c r="E77" s="8" t="s">
        <v>297</v>
      </c>
      <c r="F77" s="8" t="str">
        <f t="shared" si="13"/>
        <v>P</v>
      </c>
      <c r="G77" s="9">
        <f t="shared" si="14"/>
        <v>0</v>
      </c>
      <c r="H77" s="9">
        <f>IF(I77="CERT_C",VLOOKUP(J77,'CERT C'!$A$2:$D$94,4,FALSE),IF(I77="DEFECT",VLOOKUP(J77,Defect!$B$2:$C$97,2,FALSE),IF(I77="SPARROW",VLOOKUP(J77,#REF!,2,FALSE),"")))</f>
        <v>0</v>
      </c>
      <c r="I77" s="9" t="s">
        <v>309</v>
      </c>
      <c r="J77" s="13" t="s">
        <v>552</v>
      </c>
      <c r="K77" s="8">
        <f t="shared" si="15"/>
        <v>0</v>
      </c>
      <c r="L77" s="8">
        <f>IF(IF(I77="CERT_C",VLOOKUP(J77,'CERT C'!$A$2:$E$94,5,FALSE),IF(I77="DEFECT",VLOOKUP(J77,Defect!$B$2:$D$97,3,FALSE),IF(I77="SPARROW",VLOOKUP(J77,#REF!,3,FALSE),"")))="Unreviewed", 1, 0)</f>
        <v>0</v>
      </c>
    </row>
    <row r="78" spans="1:12">
      <c r="A78" s="31"/>
      <c r="B78" s="30"/>
      <c r="C78" s="8" t="s">
        <v>551</v>
      </c>
      <c r="D78" s="8" t="s">
        <v>550</v>
      </c>
      <c r="E78" s="8" t="s">
        <v>297</v>
      </c>
      <c r="F78" s="8" t="str">
        <f t="shared" si="13"/>
        <v>P</v>
      </c>
      <c r="G78" s="9">
        <f t="shared" si="14"/>
        <v>0</v>
      </c>
      <c r="H78" s="9">
        <f>IF(I78="CERT_C",VLOOKUP(J78,'CERT C'!$A$2:$D$94,4,FALSE),IF(I78="DEFECT",VLOOKUP(J78,Defect!$B$2:$C$97,2,FALSE),IF(I78="SPARROW",VLOOKUP(J78,#REF!,2,FALSE),"")))</f>
        <v>0</v>
      </c>
      <c r="I78" s="9" t="s">
        <v>309</v>
      </c>
      <c r="J78" s="14" t="s">
        <v>549</v>
      </c>
      <c r="K78" s="8">
        <f t="shared" si="15"/>
        <v>0</v>
      </c>
      <c r="L78" s="8">
        <f>IF(IF(I78="CERT_C",VLOOKUP(J78,'CERT C'!$A$2:$E$94,5,FALSE),IF(I78="DEFECT",VLOOKUP(J78,Defect!$B$2:$D$97,3,FALSE),IF(I78="SPARROW",VLOOKUP(J78,#REF!,3,FALSE),"")))="Unreviewed", 1, 0)</f>
        <v>0</v>
      </c>
    </row>
    <row r="79" spans="1:12">
      <c r="A79" s="31"/>
      <c r="B79" s="30"/>
      <c r="C79" s="8" t="s">
        <v>548</v>
      </c>
      <c r="D79" s="8" t="s">
        <v>547</v>
      </c>
      <c r="E79" s="8" t="s">
        <v>292</v>
      </c>
      <c r="F79" s="8" t="str">
        <f t="shared" si="13"/>
        <v>P</v>
      </c>
      <c r="G79" s="9">
        <f t="shared" si="14"/>
        <v>0</v>
      </c>
      <c r="H79" s="9">
        <f>IF(I79="CERT_C",VLOOKUP(J79,'CERT C'!$A$2:$D$94,4,FALSE),IF(I79="DEFECT",VLOOKUP(J79,Defect!$B$2:$C$97,2,FALSE),IF(I79="SPARROW",VLOOKUP(J79,#REF!,2,FALSE),"")))</f>
        <v>0</v>
      </c>
      <c r="I79" s="9" t="s">
        <v>289</v>
      </c>
      <c r="J79" s="14" t="s">
        <v>546</v>
      </c>
      <c r="K79" s="8">
        <f t="shared" si="15"/>
        <v>0</v>
      </c>
      <c r="L79" s="8">
        <f>IF(IF(I79="CERT_C",VLOOKUP(J79,'CERT C'!$A$2:$E$94,5,FALSE),IF(I79="DEFECT",VLOOKUP(J79,Defect!$B$2:$D$97,3,FALSE),IF(I79="SPARROW",VLOOKUP(J79,#REF!,3,FALSE),"")))="Unreviewed", 1, 0)</f>
        <v>0</v>
      </c>
    </row>
    <row r="80" spans="1:12">
      <c r="A80" s="31"/>
      <c r="B80" s="30"/>
      <c r="C80" s="25" t="s">
        <v>545</v>
      </c>
      <c r="D80" s="25" t="s">
        <v>544</v>
      </c>
      <c r="E80" s="25" t="s">
        <v>297</v>
      </c>
      <c r="F80" s="25" t="str">
        <f t="shared" si="13"/>
        <v>P</v>
      </c>
      <c r="G80" s="27">
        <f>SUMIF(H80:H83,"&lt;&gt;#N/A")</f>
        <v>0</v>
      </c>
      <c r="H80" s="9">
        <f>IF(I80="CERT_C",VLOOKUP(J80,'CERT C'!$A$2:$D$94,4,FALSE),IF(I80="DEFECT",VLOOKUP(J80,Defect!$B$2:$C$97,2,FALSE),IF(I80="SPARROW",VLOOKUP(J80,#REF!,2,FALSE),"")))</f>
        <v>0</v>
      </c>
      <c r="I80" s="9" t="s">
        <v>289</v>
      </c>
      <c r="J80" s="14" t="s">
        <v>543</v>
      </c>
      <c r="K80" s="25">
        <f>IF(SUM(L80:L83) &gt; 0, 1, 0)</f>
        <v>0</v>
      </c>
      <c r="L80" s="8">
        <f>IF(IF(I80="CERT_C",VLOOKUP(J80,'CERT C'!$A$2:$E$94,5,FALSE),IF(I80="DEFECT",VLOOKUP(J80,Defect!$B$2:$D$97,3,FALSE),IF(I80="SPARROW",VLOOKUP(J80,#REF!,3,FALSE),"")))="Unreviewed", 1, 0)</f>
        <v>0</v>
      </c>
    </row>
    <row r="81" spans="1:12">
      <c r="A81" s="31"/>
      <c r="B81" s="30"/>
      <c r="C81" s="30"/>
      <c r="D81" s="30"/>
      <c r="E81" s="30"/>
      <c r="F81" s="30"/>
      <c r="G81" s="29"/>
      <c r="H81" s="9">
        <f>IF(I81="CERT_C",VLOOKUP(J81,'CERT C'!$A$2:$D$94,4,FALSE),IF(I81="DEFECT",VLOOKUP(J81,Defect!$B$2:$C$97,2,FALSE),IF(I81="SPARROW",VLOOKUP(J81,#REF!,2,FALSE),"")))</f>
        <v>0</v>
      </c>
      <c r="I81" s="9" t="s">
        <v>289</v>
      </c>
      <c r="J81" s="14" t="s">
        <v>542</v>
      </c>
      <c r="K81" s="30"/>
      <c r="L81" s="8">
        <f>IF(IF(I81="CERT_C",VLOOKUP(J81,'CERT C'!$A$2:$E$94,5,FALSE),IF(I81="DEFECT",VLOOKUP(J81,Defect!$B$2:$D$97,3,FALSE),IF(I81="SPARROW",VLOOKUP(J81,#REF!,3,FALSE),"")))="Unreviewed", 1, 0)</f>
        <v>0</v>
      </c>
    </row>
    <row r="82" spans="1:12">
      <c r="A82" s="31"/>
      <c r="B82" s="30"/>
      <c r="C82" s="30"/>
      <c r="D82" s="30"/>
      <c r="E82" s="30"/>
      <c r="F82" s="30"/>
      <c r="G82" s="29"/>
      <c r="H82" s="9">
        <f>IF(I82="CERT_C",VLOOKUP(J82,'CERT C'!$A$2:$D$94,4,FALSE),IF(I82="DEFECT",VLOOKUP(J82,Defect!$B$2:$C$97,2,FALSE),IF(I82="SPARROW",VLOOKUP(J82,#REF!,2,FALSE),"")))</f>
        <v>0</v>
      </c>
      <c r="I82" s="9" t="s">
        <v>289</v>
      </c>
      <c r="J82" s="14" t="s">
        <v>541</v>
      </c>
      <c r="K82" s="30"/>
      <c r="L82" s="8">
        <f>IF(IF(I82="CERT_C",VLOOKUP(J82,'CERT C'!$A$2:$E$94,5,FALSE),IF(I82="DEFECT",VLOOKUP(J82,Defect!$B$2:$D$97,3,FALSE),IF(I82="SPARROW",VLOOKUP(J82,#REF!,3,FALSE),"")))="Unreviewed", 1, 0)</f>
        <v>0</v>
      </c>
    </row>
    <row r="83" spans="1:12">
      <c r="A83" s="31"/>
      <c r="B83" s="30"/>
      <c r="C83" s="26"/>
      <c r="D83" s="26"/>
      <c r="E83" s="26"/>
      <c r="F83" s="26"/>
      <c r="G83" s="28"/>
      <c r="H83" s="9">
        <f>IF(I83="CERT_C",VLOOKUP(J83,'CERT C'!$A$2:$D$94,4,FALSE),IF(I83="DEFECT",VLOOKUP(J83,Defect!$B$2:$C$97,2,FALSE),IF(I83="SPARROW",VLOOKUP(J83,#REF!,2,FALSE),"")))</f>
        <v>0</v>
      </c>
      <c r="I83" s="9" t="s">
        <v>289</v>
      </c>
      <c r="J83" s="14" t="s">
        <v>540</v>
      </c>
      <c r="K83" s="26"/>
      <c r="L83" s="8">
        <f>IF(IF(I83="CERT_C",VLOOKUP(J83,'CERT C'!$A$2:$E$94,5,FALSE),IF(I83="DEFECT",VLOOKUP(J83,Defect!$B$2:$D$97,3,FALSE),IF(I83="SPARROW",VLOOKUP(J83,#REF!,3,FALSE),"")))="Unreviewed", 1, 0)</f>
        <v>0</v>
      </c>
    </row>
    <row r="84" spans="1:12">
      <c r="A84" s="31"/>
      <c r="B84" s="30"/>
      <c r="C84" s="25" t="s">
        <v>539</v>
      </c>
      <c r="D84" s="25" t="s">
        <v>538</v>
      </c>
      <c r="E84" s="25" t="s">
        <v>316</v>
      </c>
      <c r="F84" s="25" t="str">
        <f>IF(G84="","",IF(G84&lt;=0,"P","F"))</f>
        <v>P</v>
      </c>
      <c r="G84" s="27">
        <f>SUMIF(H84:H85,"&lt;&gt;#N/A")</f>
        <v>0</v>
      </c>
      <c r="H84" s="9">
        <f>IF(I84="CERT_C",VLOOKUP(J84,'CERT C'!$A$2:$D$94,4,FALSE),IF(I84="DEFECT",VLOOKUP(J84,Defect!$B$2:$C$97,2,FALSE),IF(I84="SPARROW",VLOOKUP(J84,#REF!,2,FALSE),"")))</f>
        <v>0</v>
      </c>
      <c r="I84" s="9" t="s">
        <v>765</v>
      </c>
      <c r="J84" s="14" t="s">
        <v>766</v>
      </c>
      <c r="K84" s="25">
        <f>IF(SUM(L84:L85) &gt; 0, 1, 0)</f>
        <v>0</v>
      </c>
      <c r="L84" s="8">
        <f>IF(IF(I84="CERT_C",VLOOKUP(J84,'CERT C'!$A$2:$E$94,5,FALSE),IF(I84="DEFECT",VLOOKUP(J84,Defect!$B$2:$D$97,3,FALSE),IF(I84="SPARROW",VLOOKUP(J84,#REF!,3,FALSE),"")))="Unreviewed", 1, 0)</f>
        <v>0</v>
      </c>
    </row>
    <row r="85" spans="1:12">
      <c r="A85" s="31"/>
      <c r="B85" s="30"/>
      <c r="C85" s="26"/>
      <c r="D85" s="26"/>
      <c r="E85" s="26"/>
      <c r="F85" s="26"/>
      <c r="G85" s="28"/>
      <c r="H85" s="9">
        <f>IF(I85="CERT_C",VLOOKUP(J85,'CERT C'!$A$2:$D$94,4,FALSE),IF(I85="DEFECT",VLOOKUP(J85,Defect!$B$2:$C$97,2,FALSE),IF(I85="SPARROW",VLOOKUP(J85,#REF!,2,FALSE),"")))</f>
        <v>0</v>
      </c>
      <c r="I85" s="9" t="s">
        <v>289</v>
      </c>
      <c r="J85" s="13" t="s">
        <v>635</v>
      </c>
      <c r="K85" s="26"/>
      <c r="L85" s="8">
        <f>IF(IF(I85="CERT_C",VLOOKUP(J85,'CERT C'!$A$2:$E$94,5,FALSE),IF(I85="DEFECT",VLOOKUP(J85,Defect!$B$2:$D$97,3,FALSE),IF(I85="SPARROW",VLOOKUP(J85,#REF!,3,FALSE),"")))="Unreviewed", 1, 0)</f>
        <v>0</v>
      </c>
    </row>
    <row r="86" spans="1:12">
      <c r="A86" s="31"/>
      <c r="B86" s="30"/>
      <c r="C86" s="30" t="s">
        <v>757</v>
      </c>
      <c r="D86" s="25" t="s">
        <v>758</v>
      </c>
      <c r="E86" s="30" t="s">
        <v>292</v>
      </c>
      <c r="F86" s="30" t="str">
        <f>IF(G86="","",IF(G86&lt;=0,"P","F"))</f>
        <v>P</v>
      </c>
      <c r="G86" s="29">
        <f>SUMIF(H86:H97,"&lt;&gt;#N/A")</f>
        <v>0</v>
      </c>
      <c r="H86" s="9">
        <f>IF(I86="CERT_C",VLOOKUP(J86,'CERT C'!$A$2:$D$94,4,FALSE),IF(I86="DEFECT",VLOOKUP(J86,Defect!$B$2:$C$97,2,FALSE),IF(I86="SPARROW",VLOOKUP(J86,#REF!,2,FALSE),"")))</f>
        <v>0</v>
      </c>
      <c r="I86" s="9" t="s">
        <v>289</v>
      </c>
      <c r="J86" s="14" t="s">
        <v>537</v>
      </c>
      <c r="K86" s="30">
        <f>IF(SUM(L86:L97) &gt; 0, 1, 0)</f>
        <v>0</v>
      </c>
      <c r="L86" s="8">
        <f>IF(IF(I86="CERT_C",VLOOKUP(J86,'CERT C'!$A$2:$E$94,5,FALSE),IF(I86="DEFECT",VLOOKUP(J86,Defect!$B$2:$D$97,3,FALSE),IF(I86="SPARROW",VLOOKUP(J86,#REF!,3,FALSE),"")))="Unreviewed", 1, 0)</f>
        <v>0</v>
      </c>
    </row>
    <row r="87" spans="1:12">
      <c r="A87" s="31"/>
      <c r="B87" s="30"/>
      <c r="C87" s="30"/>
      <c r="D87" s="30"/>
      <c r="E87" s="30"/>
      <c r="F87" s="30"/>
      <c r="G87" s="29"/>
      <c r="H87" s="9">
        <f>IF(I87="CERT_C",VLOOKUP(J87,'CERT C'!$A$2:$D$94,4,FALSE),IF(I87="DEFECT",VLOOKUP(J87,Defect!$B$2:$C$97,2,FALSE),IF(I87="SPARROW",VLOOKUP(J87,#REF!,2,FALSE),"")))</f>
        <v>0</v>
      </c>
      <c r="I87" s="9" t="s">
        <v>289</v>
      </c>
      <c r="J87" s="14" t="s">
        <v>533</v>
      </c>
      <c r="K87" s="30"/>
      <c r="L87" s="8">
        <f>IF(IF(I87="CERT_C",VLOOKUP(J87,'CERT C'!$A$2:$E$94,5,FALSE),IF(I87="DEFECT",VLOOKUP(J87,Defect!$B$2:$D$97,3,FALSE),IF(I87="SPARROW",VLOOKUP(J87,#REF!,3,FALSE),"")))="Unreviewed", 1, 0)</f>
        <v>0</v>
      </c>
    </row>
    <row r="88" spans="1:12">
      <c r="A88" s="31"/>
      <c r="B88" s="30"/>
      <c r="C88" s="30"/>
      <c r="D88" s="30"/>
      <c r="E88" s="30"/>
      <c r="F88" s="30"/>
      <c r="G88" s="29"/>
      <c r="H88" s="9">
        <f>IF(I88="CERT_C",VLOOKUP(J88,'CERT C'!$A$2:$D$94,4,FALSE),IF(I88="DEFECT",VLOOKUP(J88,Defect!$B$2:$C$97,2,FALSE),IF(I88="SPARROW",VLOOKUP(J88,#REF!,2,FALSE),"")))</f>
        <v>0</v>
      </c>
      <c r="I88" s="9" t="s">
        <v>289</v>
      </c>
      <c r="J88" s="14" t="s">
        <v>527</v>
      </c>
      <c r="K88" s="30"/>
      <c r="L88" s="8">
        <f>IF(IF(I88="CERT_C",VLOOKUP(J88,'CERT C'!$A$2:$E$94,5,FALSE),IF(I88="DEFECT",VLOOKUP(J88,Defect!$B$2:$D$97,3,FALSE),IF(I88="SPARROW",VLOOKUP(J88,#REF!,3,FALSE),"")))="Unreviewed", 1, 0)</f>
        <v>0</v>
      </c>
    </row>
    <row r="89" spans="1:12">
      <c r="A89" s="31"/>
      <c r="B89" s="30"/>
      <c r="C89" s="30"/>
      <c r="D89" s="30"/>
      <c r="E89" s="30"/>
      <c r="F89" s="30"/>
      <c r="G89" s="29"/>
      <c r="H89" s="9">
        <f>IF(I89="CERT_C",VLOOKUP(J89,'CERT C'!$A$2:$D$94,4,FALSE),IF(I89="DEFECT",VLOOKUP(J89,Defect!$B$2:$C$97,2,FALSE),IF(I89="SPARROW",VLOOKUP(J89,#REF!,2,FALSE),"")))</f>
        <v>0</v>
      </c>
      <c r="I89" s="9" t="s">
        <v>289</v>
      </c>
      <c r="J89" s="14" t="s">
        <v>532</v>
      </c>
      <c r="K89" s="30"/>
      <c r="L89" s="8">
        <f>IF(IF(I89="CERT_C",VLOOKUP(J89,'CERT C'!$A$2:$E$94,5,FALSE),IF(I89="DEFECT",VLOOKUP(J89,Defect!$B$2:$D$97,3,FALSE),IF(I89="SPARROW",VLOOKUP(J89,#REF!,3,FALSE),"")))="Unreviewed", 1, 0)</f>
        <v>0</v>
      </c>
    </row>
    <row r="90" spans="1:12">
      <c r="A90" s="31"/>
      <c r="B90" s="30"/>
      <c r="C90" s="30"/>
      <c r="D90" s="30"/>
      <c r="E90" s="30"/>
      <c r="F90" s="30"/>
      <c r="G90" s="29"/>
      <c r="H90" s="9">
        <f>IF(I90="CERT_C",VLOOKUP(J90,'CERT C'!$A$2:$D$94,4,FALSE),IF(I90="DEFECT",VLOOKUP(J90,Defect!$B$2:$C$97,2,FALSE),IF(I90="SPARROW",VLOOKUP(J90,#REF!,2,FALSE),"")))</f>
        <v>0</v>
      </c>
      <c r="I90" s="9" t="s">
        <v>289</v>
      </c>
      <c r="J90" s="14" t="s">
        <v>536</v>
      </c>
      <c r="K90" s="30"/>
      <c r="L90" s="8">
        <f>IF(IF(I90="CERT_C",VLOOKUP(J90,'CERT C'!$A$2:$E$94,5,FALSE),IF(I90="DEFECT",VLOOKUP(J90,Defect!$B$2:$D$97,3,FALSE),IF(I90="SPARROW",VLOOKUP(J90,#REF!,3,FALSE),"")))="Unreviewed", 1, 0)</f>
        <v>0</v>
      </c>
    </row>
    <row r="91" spans="1:12">
      <c r="A91" s="31"/>
      <c r="B91" s="30"/>
      <c r="C91" s="30"/>
      <c r="D91" s="30"/>
      <c r="E91" s="30"/>
      <c r="F91" s="30"/>
      <c r="G91" s="29"/>
      <c r="H91" s="9">
        <f>IF(I91="CERT_C",VLOOKUP(J91,'CERT C'!$A$2:$D$94,4,FALSE),IF(I91="DEFECT",VLOOKUP(J91,Defect!$B$2:$C$97,2,FALSE),IF(I91="SPARROW",VLOOKUP(J91,#REF!,2,FALSE),"")))</f>
        <v>0</v>
      </c>
      <c r="I91" s="9" t="s">
        <v>289</v>
      </c>
      <c r="J91" s="14" t="s">
        <v>535</v>
      </c>
      <c r="K91" s="30"/>
      <c r="L91" s="8">
        <f>IF(IF(I91="CERT_C",VLOOKUP(J91,'CERT C'!$A$2:$E$94,5,FALSE),IF(I91="DEFECT",VLOOKUP(J91,Defect!$B$2:$D$97,3,FALSE),IF(I91="SPARROW",VLOOKUP(J91,#REF!,3,FALSE),"")))="Unreviewed", 1, 0)</f>
        <v>0</v>
      </c>
    </row>
    <row r="92" spans="1:12">
      <c r="A92" s="31"/>
      <c r="B92" s="30"/>
      <c r="C92" s="30"/>
      <c r="D92" s="30"/>
      <c r="E92" s="30"/>
      <c r="F92" s="30"/>
      <c r="G92" s="29"/>
      <c r="H92" s="9">
        <f>IF(I92="CERT_C",VLOOKUP(J92,'CERT C'!$A$2:$D$94,4,FALSE),IF(I92="DEFECT",VLOOKUP(J92,Defect!$B$2:$C$97,2,FALSE),IF(I92="SPARROW",VLOOKUP(J92,#REF!,2,FALSE),"")))</f>
        <v>0</v>
      </c>
      <c r="I92" s="9" t="s">
        <v>289</v>
      </c>
      <c r="J92" s="14" t="s">
        <v>534</v>
      </c>
      <c r="K92" s="30"/>
      <c r="L92" s="8">
        <f>IF(IF(I92="CERT_C",VLOOKUP(J92,'CERT C'!$A$2:$E$94,5,FALSE),IF(I92="DEFECT",VLOOKUP(J92,Defect!$B$2:$D$97,3,FALSE),IF(I92="SPARROW",VLOOKUP(J92,#REF!,3,FALSE),"")))="Unreviewed", 1, 0)</f>
        <v>0</v>
      </c>
    </row>
    <row r="93" spans="1:12">
      <c r="A93" s="31"/>
      <c r="B93" s="30"/>
      <c r="C93" s="30"/>
      <c r="D93" s="30"/>
      <c r="E93" s="30"/>
      <c r="F93" s="30"/>
      <c r="G93" s="29"/>
      <c r="H93" s="9">
        <f>IF(I93="CERT_C",VLOOKUP(J93,'CERT C'!$A$2:$D$94,4,FALSE),IF(I93="DEFECT",VLOOKUP(J93,Defect!$B$2:$C$97,2,FALSE),IF(I93="SPARROW",VLOOKUP(J93,#REF!,2,FALSE),"")))</f>
        <v>0</v>
      </c>
      <c r="I93" s="9" t="s">
        <v>289</v>
      </c>
      <c r="J93" s="14" t="s">
        <v>527</v>
      </c>
      <c r="K93" s="30"/>
      <c r="L93" s="8">
        <f>IF(IF(I93="CERT_C",VLOOKUP(J93,'CERT C'!$A$2:$E$94,5,FALSE),IF(I93="DEFECT",VLOOKUP(J93,Defect!$B$2:$D$97,3,FALSE),IF(I93="SPARROW",VLOOKUP(J93,#REF!,3,FALSE),"")))="Unreviewed", 1, 0)</f>
        <v>0</v>
      </c>
    </row>
    <row r="94" spans="1:12">
      <c r="A94" s="31"/>
      <c r="B94" s="30"/>
      <c r="C94" s="30"/>
      <c r="D94" s="30"/>
      <c r="E94" s="30"/>
      <c r="F94" s="30"/>
      <c r="G94" s="29"/>
      <c r="H94" s="9">
        <f>IF(I94="CERT_C",VLOOKUP(J94,'CERT C'!$A$2:$D$94,4,FALSE),IF(I94="DEFECT",VLOOKUP(J94,Defect!$B$2:$C$97,2,FALSE),IF(I94="SPARROW",VLOOKUP(J94,#REF!,2,FALSE),"")))</f>
        <v>0</v>
      </c>
      <c r="I94" s="9" t="s">
        <v>289</v>
      </c>
      <c r="J94" s="14" t="s">
        <v>531</v>
      </c>
      <c r="K94" s="30"/>
      <c r="L94" s="8">
        <f>IF(IF(I94="CERT_C",VLOOKUP(J94,'CERT C'!$A$2:$E$94,5,FALSE),IF(I94="DEFECT",VLOOKUP(J94,Defect!$B$2:$D$97,3,FALSE),IF(I94="SPARROW",VLOOKUP(J94,#REF!,3,FALSE),"")))="Unreviewed", 1, 0)</f>
        <v>0</v>
      </c>
    </row>
    <row r="95" spans="1:12">
      <c r="A95" s="31"/>
      <c r="B95" s="30"/>
      <c r="C95" s="30"/>
      <c r="D95" s="30"/>
      <c r="E95" s="30"/>
      <c r="F95" s="30"/>
      <c r="G95" s="29"/>
      <c r="H95" s="9">
        <f>IF(I95="CERT_C",VLOOKUP(J95,'CERT C'!$A$2:$D$94,4,FALSE),IF(I95="DEFECT",VLOOKUP(J95,Defect!$B$2:$C$97,2,FALSE),IF(I95="SPARROW",VLOOKUP(J95,#REF!,2,FALSE),"")))</f>
        <v>0</v>
      </c>
      <c r="I95" s="9" t="s">
        <v>289</v>
      </c>
      <c r="J95" s="14" t="s">
        <v>530</v>
      </c>
      <c r="K95" s="30"/>
      <c r="L95" s="8">
        <f>IF(IF(I95="CERT_C",VLOOKUP(J95,'CERT C'!$A$2:$E$94,5,FALSE),IF(I95="DEFECT",VLOOKUP(J95,Defect!$B$2:$D$97,3,FALSE),IF(I95="SPARROW",VLOOKUP(J95,#REF!,3,FALSE),"")))="Unreviewed", 1, 0)</f>
        <v>0</v>
      </c>
    </row>
    <row r="96" spans="1:12">
      <c r="A96" s="31"/>
      <c r="B96" s="30"/>
      <c r="C96" s="30"/>
      <c r="D96" s="30"/>
      <c r="E96" s="30"/>
      <c r="F96" s="30"/>
      <c r="G96" s="29"/>
      <c r="H96" s="9">
        <f>IF(I96="CERT_C",VLOOKUP(J96,'CERT C'!$A$2:$D$94,4,FALSE),IF(I96="DEFECT",VLOOKUP(J96,Defect!$B$2:$C$97,2,FALSE),IF(I96="SPARROW",VLOOKUP(J96,#REF!,2,FALSE),"")))</f>
        <v>0</v>
      </c>
      <c r="I96" s="9" t="s">
        <v>289</v>
      </c>
      <c r="J96" s="14" t="s">
        <v>529</v>
      </c>
      <c r="K96" s="30"/>
      <c r="L96" s="8">
        <f>IF(IF(I96="CERT_C",VLOOKUP(J96,'CERT C'!$A$2:$E$94,5,FALSE),IF(I96="DEFECT",VLOOKUP(J96,Defect!$B$2:$D$97,3,FALSE),IF(I96="SPARROW",VLOOKUP(J96,#REF!,3,FALSE),"")))="Unreviewed", 1, 0)</f>
        <v>0</v>
      </c>
    </row>
    <row r="97" spans="1:12">
      <c r="A97" s="31"/>
      <c r="B97" s="30"/>
      <c r="C97" s="30"/>
      <c r="D97" s="26"/>
      <c r="E97" s="30"/>
      <c r="F97" s="30"/>
      <c r="G97" s="29"/>
      <c r="H97" s="9">
        <f>IF(I97="CERT_C",VLOOKUP(J97,'CERT C'!$A$2:$D$94,4,FALSE),IF(I97="DEFECT",VLOOKUP(J97,Defect!$B$2:$C$97,2,FALSE),IF(I97="SPARROW",VLOOKUP(J97,#REF!,2,FALSE),"")))</f>
        <v>0</v>
      </c>
      <c r="I97" s="9" t="s">
        <v>289</v>
      </c>
      <c r="J97" s="14" t="s">
        <v>528</v>
      </c>
      <c r="K97" s="30"/>
      <c r="L97" s="8">
        <f>IF(IF(I97="CERT_C",VLOOKUP(J97,'CERT C'!$A$2:$E$94,5,FALSE),IF(I97="DEFECT",VLOOKUP(J97,Defect!$B$2:$D$97,3,FALSE),IF(I97="SPARROW",VLOOKUP(J97,#REF!,3,FALSE),"")))="Unreviewed", 1, 0)</f>
        <v>0</v>
      </c>
    </row>
    <row r="98" spans="1:12">
      <c r="A98" s="31"/>
      <c r="B98" s="30"/>
      <c r="C98" s="25" t="s">
        <v>526</v>
      </c>
      <c r="D98" s="25" t="s">
        <v>525</v>
      </c>
      <c r="E98" s="25" t="s">
        <v>292</v>
      </c>
      <c r="F98" s="25" t="str">
        <f>IF(G98="","",IF(G98&lt;=0,"P","F"))</f>
        <v>P</v>
      </c>
      <c r="G98" s="27">
        <f>SUMIF(H98:H102,"&lt;&gt;#N/A")</f>
        <v>0</v>
      </c>
      <c r="H98" s="9">
        <f>IF(I98="CERT_C",VLOOKUP(J98,'CERT C'!$A$2:$D$94,4,FALSE),IF(I98="DEFECT",VLOOKUP(J98,Defect!$B$2:$C$97,2,FALSE),IF(I98="SPARROW",VLOOKUP(J98,#REF!,2,FALSE),"")))</f>
        <v>0</v>
      </c>
      <c r="I98" s="9" t="s">
        <v>289</v>
      </c>
      <c r="J98" s="14" t="s">
        <v>524</v>
      </c>
      <c r="K98" s="25">
        <f>IF(SUM(L98:L102) &gt; 0, 1, 0)</f>
        <v>0</v>
      </c>
      <c r="L98" s="8">
        <f>IF(IF(I98="CERT_C",VLOOKUP(J98,'CERT C'!$A$2:$E$94,5,FALSE),IF(I98="DEFECT",VLOOKUP(J98,Defect!$B$2:$D$97,3,FALSE),IF(I98="SPARROW",VLOOKUP(J98,#REF!,3,FALSE),"")))="Unreviewed", 1, 0)</f>
        <v>0</v>
      </c>
    </row>
    <row r="99" spans="1:12">
      <c r="A99" s="31"/>
      <c r="B99" s="30"/>
      <c r="C99" s="30"/>
      <c r="D99" s="30"/>
      <c r="E99" s="30"/>
      <c r="F99" s="30"/>
      <c r="G99" s="29"/>
      <c r="H99" s="9">
        <f>IF(I99="CERT_C",VLOOKUP(J99,'CERT C'!$A$2:$D$94,4,FALSE),IF(I99="DEFECT",VLOOKUP(J99,Defect!$B$2:$C$97,2,FALSE),IF(I99="SPARROW",VLOOKUP(J99,#REF!,2,FALSE),"")))</f>
        <v>0</v>
      </c>
      <c r="I99" s="9" t="s">
        <v>289</v>
      </c>
      <c r="J99" s="14" t="s">
        <v>523</v>
      </c>
      <c r="K99" s="30"/>
      <c r="L99" s="8">
        <f>IF(IF(I99="CERT_C",VLOOKUP(J99,'CERT C'!$A$2:$E$94,5,FALSE),IF(I99="DEFECT",VLOOKUP(J99,Defect!$B$2:$D$97,3,FALSE),IF(I99="SPARROW",VLOOKUP(J99,#REF!,3,FALSE),"")))="Unreviewed", 1, 0)</f>
        <v>0</v>
      </c>
    </row>
    <row r="100" spans="1:12">
      <c r="A100" s="31"/>
      <c r="B100" s="30"/>
      <c r="C100" s="30"/>
      <c r="D100" s="30"/>
      <c r="E100" s="30"/>
      <c r="F100" s="30"/>
      <c r="G100" s="29"/>
      <c r="H100" s="9">
        <f>IF(I100="CERT_C",VLOOKUP(J100,'CERT C'!$A$2:$D$94,4,FALSE),IF(I100="DEFECT",VLOOKUP(J100,Defect!$B$2:$C$97,2,FALSE),IF(I100="SPARROW",VLOOKUP(J100,#REF!,2,FALSE),"")))</f>
        <v>0</v>
      </c>
      <c r="I100" s="9" t="s">
        <v>289</v>
      </c>
      <c r="J100" s="14" t="s">
        <v>522</v>
      </c>
      <c r="K100" s="30"/>
      <c r="L100" s="8">
        <f>IF(IF(I100="CERT_C",VLOOKUP(J100,'CERT C'!$A$2:$E$94,5,FALSE),IF(I100="DEFECT",VLOOKUP(J100,Defect!$B$2:$D$97,3,FALSE),IF(I100="SPARROW",VLOOKUP(J100,#REF!,3,FALSE),"")))="Unreviewed", 1, 0)</f>
        <v>0</v>
      </c>
    </row>
    <row r="101" spans="1:12">
      <c r="A101" s="31"/>
      <c r="B101" s="30"/>
      <c r="C101" s="30"/>
      <c r="D101" s="30"/>
      <c r="E101" s="30"/>
      <c r="F101" s="30"/>
      <c r="G101" s="29"/>
      <c r="H101" s="9">
        <f>IF(I101="CERT_C",VLOOKUP(J101,'CERT C'!$A$2:$D$94,4,FALSE),IF(I101="DEFECT",VLOOKUP(J101,Defect!$B$2:$C$97,2,FALSE),IF(I101="SPARROW",VLOOKUP(J101,#REF!,2,FALSE),"")))</f>
        <v>0</v>
      </c>
      <c r="I101" s="9" t="s">
        <v>289</v>
      </c>
      <c r="J101" s="14" t="s">
        <v>521</v>
      </c>
      <c r="K101" s="30"/>
      <c r="L101" s="8">
        <f>IF(IF(I101="CERT_C",VLOOKUP(J101,'CERT C'!$A$2:$E$94,5,FALSE),IF(I101="DEFECT",VLOOKUP(J101,Defect!$B$2:$D$97,3,FALSE),IF(I101="SPARROW",VLOOKUP(J101,#REF!,3,FALSE),"")))="Unreviewed", 1, 0)</f>
        <v>0</v>
      </c>
    </row>
    <row r="102" spans="1:12">
      <c r="A102" s="31"/>
      <c r="B102" s="26"/>
      <c r="C102" s="26"/>
      <c r="D102" s="26"/>
      <c r="E102" s="26"/>
      <c r="F102" s="26"/>
      <c r="G102" s="28"/>
      <c r="H102" s="9">
        <f>IF(I102="CERT_C",VLOOKUP(J102,'CERT C'!$A$2:$D$94,4,FALSE),IF(I102="DEFECT",VLOOKUP(J102,Defect!$B$2:$C$97,2,FALSE),IF(I102="SPARROW",VLOOKUP(J102,#REF!,2,FALSE),"")))</f>
        <v>0</v>
      </c>
      <c r="I102" s="9" t="s">
        <v>289</v>
      </c>
      <c r="J102" s="14" t="s">
        <v>520</v>
      </c>
      <c r="K102" s="26"/>
      <c r="L102" s="8">
        <f>IF(IF(I102="CERT_C",VLOOKUP(J102,'CERT C'!$A$2:$E$94,5,FALSE),IF(I102="DEFECT",VLOOKUP(J102,Defect!$B$2:$D$97,3,FALSE),IF(I102="SPARROW",VLOOKUP(J102,#REF!,3,FALSE),"")))="Unreviewed", 1, 0)</f>
        <v>0</v>
      </c>
    </row>
    <row r="103" spans="1:12">
      <c r="A103" s="31"/>
      <c r="B103" s="25" t="s">
        <v>519</v>
      </c>
      <c r="C103" s="8" t="s">
        <v>518</v>
      </c>
      <c r="D103" s="8" t="s">
        <v>517</v>
      </c>
      <c r="E103" s="8" t="s">
        <v>292</v>
      </c>
      <c r="F103" s="8" t="str">
        <f t="shared" ref="F103:F121" si="16">IF(G103="","",IF(G103&lt;=0,"P","F"))</f>
        <v>P</v>
      </c>
      <c r="G103" s="9">
        <f t="shared" ref="G103:G120" si="17">SUMIF(H103,"&lt;&gt;#N/A")</f>
        <v>0</v>
      </c>
      <c r="H103" s="9">
        <f>IF(I103="CERT_C",VLOOKUP(J103,'CERT C'!$A$2:$D$94,4,FALSE),IF(I103="DEFECT",VLOOKUP(J103,Defect!$B$2:$C$97,2,FALSE),IF(I103="SPARROW",VLOOKUP(J103,#REF!,2,FALSE),"")))</f>
        <v>0</v>
      </c>
      <c r="I103" s="9" t="s">
        <v>309</v>
      </c>
      <c r="J103" s="14" t="s">
        <v>516</v>
      </c>
      <c r="K103" s="8">
        <f>IF(SUM(L103) &gt; 0, 1, 0)</f>
        <v>0</v>
      </c>
      <c r="L103" s="8">
        <f>IF(IF(I103="CERT_C",VLOOKUP(J103,'CERT C'!$A$2:$E$94,5,FALSE),IF(I103="DEFECT",VLOOKUP(J103,Defect!$B$2:$D$97,3,FALSE),IF(I103="SPARROW",VLOOKUP(J103,#REF!,3,FALSE),"")))="Unreviewed", 1, 0)</f>
        <v>0</v>
      </c>
    </row>
    <row r="104" spans="1:12">
      <c r="A104" s="31"/>
      <c r="B104" s="30"/>
      <c r="C104" s="8" t="s">
        <v>515</v>
      </c>
      <c r="D104" s="8" t="s">
        <v>514</v>
      </c>
      <c r="E104" s="8" t="s">
        <v>297</v>
      </c>
      <c r="F104" s="8" t="str">
        <f t="shared" si="16"/>
        <v>P</v>
      </c>
      <c r="G104" s="9">
        <f t="shared" si="17"/>
        <v>0</v>
      </c>
      <c r="H104" s="9">
        <f>IF(I104="CERT_C",VLOOKUP(J104,'CERT C'!$A$2:$D$94,4,FALSE),IF(I104="DEFECT",VLOOKUP(J104,Defect!$B$2:$C$97,2,FALSE),IF(I104="SPARROW",VLOOKUP(J104,#REF!,2,FALSE),"")))</f>
        <v>0</v>
      </c>
      <c r="I104" s="9" t="s">
        <v>309</v>
      </c>
      <c r="J104" s="14" t="s">
        <v>513</v>
      </c>
      <c r="K104" s="8">
        <f t="shared" ref="K104:K120" si="18">IF(SUM(L104) &gt; 0, 1, 0)</f>
        <v>0</v>
      </c>
      <c r="L104" s="8">
        <f>IF(IF(I104="CERT_C",VLOOKUP(J104,'CERT C'!$A$2:$E$94,5,FALSE),IF(I104="DEFECT",VLOOKUP(J104,Defect!$B$2:$D$97,3,FALSE),IF(I104="SPARROW",VLOOKUP(J104,#REF!,3,FALSE),"")))="Unreviewed", 1, 0)</f>
        <v>0</v>
      </c>
    </row>
    <row r="105" spans="1:12">
      <c r="A105" s="31"/>
      <c r="B105" s="30"/>
      <c r="C105" s="8" t="s">
        <v>512</v>
      </c>
      <c r="D105" s="8" t="s">
        <v>511</v>
      </c>
      <c r="E105" s="8" t="s">
        <v>292</v>
      </c>
      <c r="F105" s="8" t="str">
        <f t="shared" si="16"/>
        <v>P</v>
      </c>
      <c r="G105" s="9">
        <f t="shared" si="17"/>
        <v>0</v>
      </c>
      <c r="H105" s="9">
        <f>IF(I105="CERT_C",VLOOKUP(J105,'CERT C'!$A$2:$D$94,4,FALSE),IF(I105="DEFECT",VLOOKUP(J105,Defect!$B$2:$C$97,2,FALSE),IF(I105="SPARROW",VLOOKUP(J105,#REF!,2,FALSE),"")))</f>
        <v>0</v>
      </c>
      <c r="I105" s="9" t="s">
        <v>309</v>
      </c>
      <c r="J105" s="14" t="s">
        <v>510</v>
      </c>
      <c r="K105" s="8">
        <f t="shared" si="18"/>
        <v>0</v>
      </c>
      <c r="L105" s="8">
        <f>IF(IF(I105="CERT_C",VLOOKUP(J105,'CERT C'!$A$2:$E$94,5,FALSE),IF(I105="DEFECT",VLOOKUP(J105,Defect!$B$2:$D$97,3,FALSE),IF(I105="SPARROW",VLOOKUP(J105,#REF!,3,FALSE),"")))="Unreviewed", 1, 0)</f>
        <v>0</v>
      </c>
    </row>
    <row r="106" spans="1:12">
      <c r="A106" s="31" t="s">
        <v>509</v>
      </c>
      <c r="B106" s="25" t="s">
        <v>508</v>
      </c>
      <c r="C106" s="8" t="s">
        <v>507</v>
      </c>
      <c r="D106" s="8" t="s">
        <v>506</v>
      </c>
      <c r="E106" s="8" t="s">
        <v>297</v>
      </c>
      <c r="F106" s="8" t="str">
        <f t="shared" si="16"/>
        <v>P</v>
      </c>
      <c r="G106" s="9">
        <f t="shared" si="17"/>
        <v>0</v>
      </c>
      <c r="H106" s="9">
        <f>IF(I106="CERT_C",VLOOKUP(J106,'CERT C'!$A$2:$D$94,4,FALSE),IF(I106="DEFECT",VLOOKUP(J106,Defect!$B$2:$C$97,2,FALSE),IF(I106="SPARROW",VLOOKUP(J106,#REF!,2,FALSE),"")))</f>
        <v>0</v>
      </c>
      <c r="I106" s="9" t="s">
        <v>309</v>
      </c>
      <c r="J106" s="14" t="s">
        <v>505</v>
      </c>
      <c r="K106" s="8">
        <f t="shared" si="18"/>
        <v>0</v>
      </c>
      <c r="L106" s="8">
        <f>IF(IF(I106="CERT_C",VLOOKUP(J106,'CERT C'!$A$2:$E$94,5,FALSE),IF(I106="DEFECT",VLOOKUP(J106,Defect!$B$2:$D$97,3,FALSE),IF(I106="SPARROW",VLOOKUP(J106,#REF!,3,FALSE),"")))="Unreviewed", 1, 0)</f>
        <v>0</v>
      </c>
    </row>
    <row r="107" spans="1:12">
      <c r="A107" s="31"/>
      <c r="B107" s="30"/>
      <c r="C107" s="8" t="s">
        <v>504</v>
      </c>
      <c r="D107" s="8" t="s">
        <v>503</v>
      </c>
      <c r="E107" s="8" t="s">
        <v>292</v>
      </c>
      <c r="F107" s="8" t="str">
        <f t="shared" si="16"/>
        <v>P</v>
      </c>
      <c r="G107" s="9">
        <f t="shared" si="17"/>
        <v>0</v>
      </c>
      <c r="H107" s="9">
        <f>IF(I107="CERT_C",VLOOKUP(J107,'CERT C'!$A$2:$D$94,4,FALSE),IF(I107="DEFECT",VLOOKUP(J107,Defect!$B$2:$C$97,2,FALSE),IF(I107="SPARROW",VLOOKUP(J107,#REF!,2,FALSE),"")))</f>
        <v>0</v>
      </c>
      <c r="I107" s="9" t="s">
        <v>309</v>
      </c>
      <c r="J107" s="14" t="s">
        <v>502</v>
      </c>
      <c r="K107" s="8">
        <f t="shared" si="18"/>
        <v>0</v>
      </c>
      <c r="L107" s="8">
        <f>IF(IF(I107="CERT_C",VLOOKUP(J107,'CERT C'!$A$2:$E$94,5,FALSE),IF(I107="DEFECT",VLOOKUP(J107,Defect!$B$2:$D$97,3,FALSE),IF(I107="SPARROW",VLOOKUP(J107,#REF!,3,FALSE),"")))="Unreviewed", 1, 0)</f>
        <v>0</v>
      </c>
    </row>
    <row r="108" spans="1:12">
      <c r="A108" s="31"/>
      <c r="B108" s="30"/>
      <c r="C108" s="8" t="s">
        <v>501</v>
      </c>
      <c r="D108" s="8" t="s">
        <v>500</v>
      </c>
      <c r="E108" s="8" t="s">
        <v>316</v>
      </c>
      <c r="F108" s="8" t="str">
        <f t="shared" si="16"/>
        <v>P</v>
      </c>
      <c r="G108" s="9">
        <f t="shared" si="17"/>
        <v>0</v>
      </c>
      <c r="H108" s="9">
        <f>IF(I108="CERT_C",VLOOKUP(J108,'CERT C'!$A$2:$D$94,4,FALSE),IF(I108="DEFECT",VLOOKUP(J108,Defect!$B$2:$C$97,2,FALSE),IF(I108="SPARROW",VLOOKUP(J108,#REF!,2,FALSE),"")))</f>
        <v>0</v>
      </c>
      <c r="I108" s="9" t="s">
        <v>309</v>
      </c>
      <c r="J108" s="14" t="s">
        <v>499</v>
      </c>
      <c r="K108" s="8">
        <f t="shared" si="18"/>
        <v>0</v>
      </c>
      <c r="L108" s="8">
        <f>IF(IF(I108="CERT_C",VLOOKUP(J108,'CERT C'!$A$2:$E$94,5,FALSE),IF(I108="DEFECT",VLOOKUP(J108,Defect!$B$2:$D$97,3,FALSE),IF(I108="SPARROW",VLOOKUP(J108,#REF!,3,FALSE),"")))="Unreviewed", 1, 0)</f>
        <v>0</v>
      </c>
    </row>
    <row r="109" spans="1:12">
      <c r="A109" s="31"/>
      <c r="B109" s="30"/>
      <c r="C109" s="8" t="s">
        <v>498</v>
      </c>
      <c r="D109" s="8" t="s">
        <v>497</v>
      </c>
      <c r="E109" s="8" t="s">
        <v>297</v>
      </c>
      <c r="F109" s="8" t="str">
        <f t="shared" si="16"/>
        <v>P</v>
      </c>
      <c r="G109" s="9">
        <f t="shared" si="17"/>
        <v>0</v>
      </c>
      <c r="H109" s="9">
        <f>IF(I109="CERT_C",VLOOKUP(J109,'CERT C'!$A$2:$D$94,4,FALSE),IF(I109="DEFECT",VLOOKUP(J109,Defect!$B$2:$C$97,2,FALSE),IF(I109="SPARROW",VLOOKUP(J109,#REF!,2,FALSE),"")))</f>
        <v>0</v>
      </c>
      <c r="I109" s="9" t="s">
        <v>309</v>
      </c>
      <c r="J109" s="14" t="s">
        <v>496</v>
      </c>
      <c r="K109" s="8">
        <f t="shared" si="18"/>
        <v>0</v>
      </c>
      <c r="L109" s="8">
        <f>IF(IF(I109="CERT_C",VLOOKUP(J109,'CERT C'!$A$2:$E$94,5,FALSE),IF(I109="DEFECT",VLOOKUP(J109,Defect!$B$2:$D$97,3,FALSE),IF(I109="SPARROW",VLOOKUP(J109,#REF!,3,FALSE),"")))="Unreviewed", 1, 0)</f>
        <v>0</v>
      </c>
    </row>
    <row r="110" spans="1:12">
      <c r="A110" s="31"/>
      <c r="B110" s="30"/>
      <c r="C110" s="8" t="s">
        <v>495</v>
      </c>
      <c r="D110" s="8" t="s">
        <v>494</v>
      </c>
      <c r="E110" s="8" t="s">
        <v>297</v>
      </c>
      <c r="F110" s="8" t="str">
        <f t="shared" si="16"/>
        <v>P</v>
      </c>
      <c r="G110" s="9">
        <f t="shared" si="17"/>
        <v>0</v>
      </c>
      <c r="H110" s="9">
        <f>IF(I110="CERT_C",VLOOKUP(J110,'CERT C'!$A$2:$D$94,4,FALSE),IF(I110="DEFECT",VLOOKUP(J110,Defect!$B$2:$C$97,2,FALSE),IF(I110="SPARROW",VLOOKUP(J110,#REF!,2,FALSE),"")))</f>
        <v>0</v>
      </c>
      <c r="I110" s="9" t="s">
        <v>309</v>
      </c>
      <c r="J110" s="14" t="s">
        <v>493</v>
      </c>
      <c r="K110" s="8">
        <f t="shared" si="18"/>
        <v>0</v>
      </c>
      <c r="L110" s="8">
        <f>IF(IF(I110="CERT_C",VLOOKUP(J110,'CERT C'!$A$2:$E$94,5,FALSE),IF(I110="DEFECT",VLOOKUP(J110,Defect!$B$2:$D$97,3,FALSE),IF(I110="SPARROW",VLOOKUP(J110,#REF!,3,FALSE),"")))="Unreviewed", 1, 0)</f>
        <v>0</v>
      </c>
    </row>
    <row r="111" spans="1:12">
      <c r="A111" s="31"/>
      <c r="B111" s="30"/>
      <c r="C111" s="8" t="s">
        <v>492</v>
      </c>
      <c r="D111" s="8" t="s">
        <v>491</v>
      </c>
      <c r="E111" s="8" t="s">
        <v>316</v>
      </c>
      <c r="F111" s="8" t="str">
        <f t="shared" si="16"/>
        <v>P</v>
      </c>
      <c r="G111" s="9">
        <f t="shared" si="17"/>
        <v>0</v>
      </c>
      <c r="H111" s="9">
        <f>IF(I111="CERT_C",VLOOKUP(J111,'CERT C'!$A$2:$D$94,4,FALSE),IF(I111="DEFECT",VLOOKUP(J111,Defect!$B$2:$C$97,2,FALSE),IF(I111="SPARROW",VLOOKUP(J111,#REF!,2,FALSE),"")))</f>
        <v>0</v>
      </c>
      <c r="I111" s="9" t="s">
        <v>309</v>
      </c>
      <c r="J111" s="13" t="s">
        <v>490</v>
      </c>
      <c r="K111" s="8">
        <f t="shared" si="18"/>
        <v>0</v>
      </c>
      <c r="L111" s="8">
        <f>IF(IF(I111="CERT_C",VLOOKUP(J111,'CERT C'!$A$2:$E$94,5,FALSE),IF(I111="DEFECT",VLOOKUP(J111,Defect!$B$2:$D$97,3,FALSE),IF(I111="SPARROW",VLOOKUP(J111,#REF!,3,FALSE),"")))="Unreviewed", 1, 0)</f>
        <v>0</v>
      </c>
    </row>
    <row r="112" spans="1:12">
      <c r="A112" s="31"/>
      <c r="B112" s="30"/>
      <c r="C112" s="8" t="s">
        <v>489</v>
      </c>
      <c r="D112" s="8" t="s">
        <v>488</v>
      </c>
      <c r="E112" s="8" t="s">
        <v>292</v>
      </c>
      <c r="F112" s="8" t="str">
        <f t="shared" si="16"/>
        <v>P</v>
      </c>
      <c r="G112" s="9">
        <f t="shared" si="17"/>
        <v>0</v>
      </c>
      <c r="H112" s="9">
        <f>IF(I112="CERT_C",VLOOKUP(J112,'CERT C'!$A$2:$D$94,4,FALSE),IF(I112="DEFECT",VLOOKUP(J112,Defect!$B$2:$C$97,2,FALSE),IF(I112="SPARROW",VLOOKUP(J112,#REF!,2,FALSE),"")))</f>
        <v>0</v>
      </c>
      <c r="I112" s="9" t="s">
        <v>289</v>
      </c>
      <c r="J112" s="14" t="s">
        <v>374</v>
      </c>
      <c r="K112" s="8">
        <f t="shared" si="18"/>
        <v>0</v>
      </c>
      <c r="L112" s="8">
        <f>IF(IF(I112="CERT_C",VLOOKUP(J112,'CERT C'!$A$2:$E$94,5,FALSE),IF(I112="DEFECT",VLOOKUP(J112,Defect!$B$2:$D$97,3,FALSE),IF(I112="SPARROW",VLOOKUP(J112,#REF!,3,FALSE),"")))="Unreviewed", 1, 0)</f>
        <v>0</v>
      </c>
    </row>
    <row r="113" spans="1:12">
      <c r="A113" s="31"/>
      <c r="B113" s="25" t="s">
        <v>487</v>
      </c>
      <c r="C113" s="8" t="s">
        <v>486</v>
      </c>
      <c r="D113" s="8" t="s">
        <v>485</v>
      </c>
      <c r="E113" s="8" t="s">
        <v>297</v>
      </c>
      <c r="F113" s="8" t="str">
        <f t="shared" si="16"/>
        <v>P</v>
      </c>
      <c r="G113" s="9">
        <f t="shared" si="17"/>
        <v>0</v>
      </c>
      <c r="H113" s="9">
        <f>IF(I113="CERT_C",VLOOKUP(J113,'CERT C'!$A$2:$D$94,4,FALSE),IF(I113="DEFECT",VLOOKUP(J113,Defect!$B$2:$C$97,2,FALSE),IF(I113="SPARROW",VLOOKUP(J113,#REF!,2,FALSE),"")))</f>
        <v>0</v>
      </c>
      <c r="I113" s="9" t="s">
        <v>309</v>
      </c>
      <c r="J113" s="14" t="s">
        <v>484</v>
      </c>
      <c r="K113" s="8">
        <f t="shared" si="18"/>
        <v>0</v>
      </c>
      <c r="L113" s="8">
        <f>IF(IF(I113="CERT_C",VLOOKUP(J113,'CERT C'!$A$2:$E$94,5,FALSE),IF(I113="DEFECT",VLOOKUP(J113,Defect!$B$2:$D$97,3,FALSE),IF(I113="SPARROW",VLOOKUP(J113,#REF!,3,FALSE),"")))="Unreviewed", 1, 0)</f>
        <v>0</v>
      </c>
    </row>
    <row r="114" spans="1:12">
      <c r="A114" s="31"/>
      <c r="B114" s="30"/>
      <c r="C114" s="8" t="s">
        <v>483</v>
      </c>
      <c r="D114" s="8" t="s">
        <v>482</v>
      </c>
      <c r="E114" s="8" t="s">
        <v>297</v>
      </c>
      <c r="F114" s="8" t="str">
        <f t="shared" si="16"/>
        <v>P</v>
      </c>
      <c r="G114" s="9">
        <f t="shared" si="17"/>
        <v>0</v>
      </c>
      <c r="H114" s="9">
        <f>IF(I114="CERT_C",VLOOKUP(J114,'CERT C'!$A$2:$D$94,4,FALSE),IF(I114="DEFECT",VLOOKUP(J114,Defect!$B$2:$C$97,2,FALSE),IF(I114="SPARROW",VLOOKUP(J114,#REF!,2,FALSE),"")))</f>
        <v>0</v>
      </c>
      <c r="I114" s="9" t="s">
        <v>309</v>
      </c>
      <c r="J114" s="14" t="s">
        <v>481</v>
      </c>
      <c r="K114" s="8">
        <f t="shared" si="18"/>
        <v>0</v>
      </c>
      <c r="L114" s="8">
        <f>IF(IF(I114="CERT_C",VLOOKUP(J114,'CERT C'!$A$2:$E$94,5,FALSE),IF(I114="DEFECT",VLOOKUP(J114,Defect!$B$2:$D$97,3,FALSE),IF(I114="SPARROW",VLOOKUP(J114,#REF!,3,FALSE),"")))="Unreviewed", 1, 0)</f>
        <v>0</v>
      </c>
    </row>
    <row r="115" spans="1:12">
      <c r="A115" s="31"/>
      <c r="B115" s="30"/>
      <c r="C115" s="8" t="s">
        <v>480</v>
      </c>
      <c r="D115" s="8" t="s">
        <v>479</v>
      </c>
      <c r="E115" s="8" t="s">
        <v>297</v>
      </c>
      <c r="F115" s="8" t="str">
        <f t="shared" si="16"/>
        <v>P</v>
      </c>
      <c r="G115" s="9">
        <f t="shared" si="17"/>
        <v>0</v>
      </c>
      <c r="H115" s="9">
        <f>IF(I115="CERT_C",VLOOKUP(J115,'CERT C'!$A$2:$D$94,4,FALSE),IF(I115="DEFECT",VLOOKUP(J115,Defect!$B$2:$C$97,2,FALSE),IF(I115="SPARROW",VLOOKUP(J115,#REF!,2,FALSE),"")))</f>
        <v>0</v>
      </c>
      <c r="I115" s="9" t="s">
        <v>309</v>
      </c>
      <c r="J115" s="14" t="s">
        <v>478</v>
      </c>
      <c r="K115" s="8">
        <f t="shared" si="18"/>
        <v>0</v>
      </c>
      <c r="L115" s="8">
        <f>IF(IF(I115="CERT_C",VLOOKUP(J115,'CERT C'!$A$2:$E$94,5,FALSE),IF(I115="DEFECT",VLOOKUP(J115,Defect!$B$2:$D$97,3,FALSE),IF(I115="SPARROW",VLOOKUP(J115,#REF!,3,FALSE),"")))="Unreviewed", 1, 0)</f>
        <v>0</v>
      </c>
    </row>
    <row r="116" spans="1:12">
      <c r="A116" s="31"/>
      <c r="B116" s="30"/>
      <c r="C116" s="8" t="s">
        <v>477</v>
      </c>
      <c r="D116" s="8" t="s">
        <v>476</v>
      </c>
      <c r="E116" s="8" t="s">
        <v>316</v>
      </c>
      <c r="F116" s="8" t="str">
        <f t="shared" si="16"/>
        <v>P</v>
      </c>
      <c r="G116" s="9">
        <f t="shared" si="17"/>
        <v>0</v>
      </c>
      <c r="H116" s="9">
        <f>IF(I116="CERT_C",VLOOKUP(J116,'CERT C'!$A$2:$D$94,4,FALSE),IF(I116="DEFECT",VLOOKUP(J116,Defect!$B$2:$C$97,2,FALSE),IF(I116="SPARROW",VLOOKUP(J116,#REF!,2,FALSE),"")))</f>
        <v>0</v>
      </c>
      <c r="I116" s="9" t="s">
        <v>309</v>
      </c>
      <c r="J116" s="14" t="s">
        <v>475</v>
      </c>
      <c r="K116" s="8">
        <f t="shared" si="18"/>
        <v>0</v>
      </c>
      <c r="L116" s="8">
        <f>IF(IF(I116="CERT_C",VLOOKUP(J116,'CERT C'!$A$2:$E$94,5,FALSE),IF(I116="DEFECT",VLOOKUP(J116,Defect!$B$2:$D$97,3,FALSE),IF(I116="SPARROW",VLOOKUP(J116,#REF!,3,FALSE),"")))="Unreviewed", 1, 0)</f>
        <v>0</v>
      </c>
    </row>
    <row r="117" spans="1:12">
      <c r="A117" s="31"/>
      <c r="B117" s="30"/>
      <c r="C117" s="8" t="s">
        <v>474</v>
      </c>
      <c r="D117" s="8" t="s">
        <v>473</v>
      </c>
      <c r="E117" s="8" t="s">
        <v>316</v>
      </c>
      <c r="F117" s="8" t="str">
        <f t="shared" si="16"/>
        <v>P</v>
      </c>
      <c r="G117" s="9">
        <f t="shared" si="17"/>
        <v>0</v>
      </c>
      <c r="H117" s="9">
        <f>IF(I117="CERT_C",VLOOKUP(J117,'CERT C'!$A$2:$D$94,4,FALSE),IF(I117="DEFECT",VLOOKUP(J117,Defect!$B$2:$C$97,2,FALSE),IF(I117="SPARROW",VLOOKUP(J117,#REF!,2,FALSE),"")))</f>
        <v>0</v>
      </c>
      <c r="I117" s="9" t="s">
        <v>309</v>
      </c>
      <c r="J117" s="13" t="s">
        <v>472</v>
      </c>
      <c r="K117" s="8">
        <f t="shared" si="18"/>
        <v>0</v>
      </c>
      <c r="L117" s="8">
        <f>IF(IF(I117="CERT_C",VLOOKUP(J117,'CERT C'!$A$2:$E$94,5,FALSE),IF(I117="DEFECT",VLOOKUP(J117,Defect!$B$2:$D$97,3,FALSE),IF(I117="SPARROW",VLOOKUP(J117,#REF!,3,FALSE),"")))="Unreviewed", 1, 0)</f>
        <v>0</v>
      </c>
    </row>
    <row r="118" spans="1:12">
      <c r="A118" s="31"/>
      <c r="B118" s="30"/>
      <c r="C118" s="8" t="s">
        <v>471</v>
      </c>
      <c r="D118" s="8" t="s">
        <v>470</v>
      </c>
      <c r="E118" s="8" t="s">
        <v>316</v>
      </c>
      <c r="F118" s="8" t="str">
        <f t="shared" si="16"/>
        <v>P</v>
      </c>
      <c r="G118" s="9">
        <f t="shared" si="17"/>
        <v>0</v>
      </c>
      <c r="H118" s="9">
        <f>IF(I118="CERT_C",VLOOKUP(J118,'CERT C'!$A$2:$D$94,4,FALSE),IF(I118="DEFECT",VLOOKUP(J118,Defect!$B$2:$C$97,2,FALSE),IF(I118="SPARROW",VLOOKUP(J118,#REF!,2,FALSE),"")))</f>
        <v>0</v>
      </c>
      <c r="I118" s="9" t="s">
        <v>309</v>
      </c>
      <c r="J118" s="14" t="s">
        <v>469</v>
      </c>
      <c r="K118" s="8">
        <f t="shared" si="18"/>
        <v>0</v>
      </c>
      <c r="L118" s="8">
        <f>IF(IF(I118="CERT_C",VLOOKUP(J118,'CERT C'!$A$2:$E$94,5,FALSE),IF(I118="DEFECT",VLOOKUP(J118,Defect!$B$2:$D$97,3,FALSE),IF(I118="SPARROW",VLOOKUP(J118,#REF!,3,FALSE),"")))="Unreviewed", 1, 0)</f>
        <v>0</v>
      </c>
    </row>
    <row r="119" spans="1:12">
      <c r="A119" s="31"/>
      <c r="B119" s="30"/>
      <c r="C119" s="8" t="s">
        <v>468</v>
      </c>
      <c r="D119" s="8" t="s">
        <v>467</v>
      </c>
      <c r="E119" s="8" t="s">
        <v>292</v>
      </c>
      <c r="F119" s="8" t="str">
        <f t="shared" si="16"/>
        <v>P</v>
      </c>
      <c r="G119" s="9">
        <f t="shared" si="17"/>
        <v>0</v>
      </c>
      <c r="H119" s="9">
        <f>IF(I119="CERT_C",VLOOKUP(J119,'CERT C'!$A$2:$D$94,4,FALSE),IF(I119="DEFECT",VLOOKUP(J119,Defect!$B$2:$C$97,2,FALSE),IF(I119="SPARROW",VLOOKUP(J119,#REF!,2,FALSE),"")))</f>
        <v>0</v>
      </c>
      <c r="I119" s="9" t="s">
        <v>309</v>
      </c>
      <c r="J119" s="14" t="s">
        <v>466</v>
      </c>
      <c r="K119" s="8">
        <f t="shared" si="18"/>
        <v>0</v>
      </c>
      <c r="L119" s="8">
        <f>IF(IF(I119="CERT_C",VLOOKUP(J119,'CERT C'!$A$2:$E$94,5,FALSE),IF(I119="DEFECT",VLOOKUP(J119,Defect!$B$2:$D$97,3,FALSE),IF(I119="SPARROW",VLOOKUP(J119,#REF!,3,FALSE),"")))="Unreviewed", 1, 0)</f>
        <v>0</v>
      </c>
    </row>
    <row r="120" spans="1:12">
      <c r="A120" s="31"/>
      <c r="B120" s="30"/>
      <c r="C120" s="8" t="s">
        <v>465</v>
      </c>
      <c r="D120" s="8" t="s">
        <v>464</v>
      </c>
      <c r="E120" s="8" t="s">
        <v>297</v>
      </c>
      <c r="F120" s="8" t="str">
        <f t="shared" si="16"/>
        <v>P</v>
      </c>
      <c r="G120" s="9">
        <f t="shared" si="17"/>
        <v>0</v>
      </c>
      <c r="H120" s="9">
        <f>IF(I120="CERT_C",VLOOKUP(J120,'CERT C'!$A$2:$D$94,4,FALSE),IF(I120="DEFECT",VLOOKUP(J120,Defect!$B$2:$C$97,2,FALSE),IF(I120="SPARROW",VLOOKUP(J120,#REF!,2,FALSE),"")))</f>
        <v>0</v>
      </c>
      <c r="I120" s="9" t="s">
        <v>309</v>
      </c>
      <c r="J120" s="14" t="s">
        <v>463</v>
      </c>
      <c r="K120" s="8">
        <f t="shared" si="18"/>
        <v>0</v>
      </c>
      <c r="L120" s="8">
        <f>IF(IF(I120="CERT_C",VLOOKUP(J120,'CERT C'!$A$2:$E$94,5,FALSE),IF(I120="DEFECT",VLOOKUP(J120,Defect!$B$2:$D$97,3,FALSE),IF(I120="SPARROW",VLOOKUP(J120,#REF!,3,FALSE),"")))="Unreviewed", 1, 0)</f>
        <v>0</v>
      </c>
    </row>
    <row r="121" spans="1:12">
      <c r="A121" s="31"/>
      <c r="B121" s="30"/>
      <c r="C121" s="25" t="s">
        <v>462</v>
      </c>
      <c r="D121" s="25" t="s">
        <v>461</v>
      </c>
      <c r="E121" s="25" t="s">
        <v>316</v>
      </c>
      <c r="F121" s="25" t="str">
        <f t="shared" si="16"/>
        <v>P</v>
      </c>
      <c r="G121" s="27">
        <f>SUMIF(H121:H122,"&lt;&gt;#N/A")</f>
        <v>0</v>
      </c>
      <c r="H121" s="9">
        <f>IF(I121="CERT_C",VLOOKUP(J121,'CERT C'!$A$2:$D$94,4,FALSE),IF(I121="DEFECT",VLOOKUP(J121,Defect!$B$2:$C$97,2,FALSE),IF(I121="SPARROW",VLOOKUP(J121,#REF!,2,FALSE),"")))</f>
        <v>0</v>
      </c>
      <c r="I121" s="9" t="s">
        <v>289</v>
      </c>
      <c r="J121" s="14" t="s">
        <v>300</v>
      </c>
      <c r="K121" s="25">
        <f>IF(SUM(L121:L122) &gt; 0, 1, 0)</f>
        <v>0</v>
      </c>
      <c r="L121" s="8">
        <f>IF(IF(I121="CERT_C",VLOOKUP(J121,'CERT C'!$A$2:$E$94,5,FALSE),IF(I121="DEFECT",VLOOKUP(J121,Defect!$B$2:$D$97,3,FALSE),IF(I121="SPARROW",VLOOKUP(J121,#REF!,3,FALSE),"")))="Unreviewed", 1, 0)</f>
        <v>0</v>
      </c>
    </row>
    <row r="122" spans="1:12">
      <c r="A122" s="31"/>
      <c r="B122" s="26"/>
      <c r="C122" s="26"/>
      <c r="D122" s="26"/>
      <c r="E122" s="26"/>
      <c r="F122" s="26"/>
      <c r="G122" s="28"/>
      <c r="H122" s="9">
        <f>IF(I122="CERT_C",VLOOKUP(J122,'CERT C'!$A$2:$D$94,4,FALSE),IF(I122="DEFECT",VLOOKUP(J122,Defect!$B$2:$C$97,2,FALSE),IF(I122="SPARROW",VLOOKUP(J122,#REF!,2,FALSE),"")))</f>
        <v>0</v>
      </c>
      <c r="I122" s="9" t="s">
        <v>289</v>
      </c>
      <c r="J122" s="14" t="s">
        <v>460</v>
      </c>
      <c r="K122" s="26"/>
      <c r="L122" s="8">
        <f>IF(IF(I122="CERT_C",VLOOKUP(J122,'CERT C'!$A$2:$E$94,5,FALSE),IF(I122="DEFECT",VLOOKUP(J122,Defect!$B$2:$D$97,3,FALSE),IF(I122="SPARROW",VLOOKUP(J122,#REF!,3,FALSE),"")))="Unreviewed", 1, 0)</f>
        <v>0</v>
      </c>
    </row>
    <row r="123" spans="1:12">
      <c r="A123" s="31"/>
      <c r="B123" s="25" t="s">
        <v>459</v>
      </c>
      <c r="C123" s="8" t="s">
        <v>458</v>
      </c>
      <c r="D123" s="8" t="s">
        <v>457</v>
      </c>
      <c r="E123" s="8" t="s">
        <v>316</v>
      </c>
      <c r="F123" s="8" t="str">
        <f t="shared" ref="F123:F150" si="19">IF(G123="","",IF(G123&lt;=0,"P","F"))</f>
        <v>P</v>
      </c>
      <c r="G123" s="9">
        <f t="shared" ref="G123:G149" si="20">SUMIF(H123,"&lt;&gt;#N/A")</f>
        <v>0</v>
      </c>
      <c r="H123" s="9">
        <f>IF(I123="CERT_C",VLOOKUP(J123,'CERT C'!$A$2:$D$94,4,FALSE),IF(I123="DEFECT",VLOOKUP(J123,Defect!$B$2:$C$97,2,FALSE),IF(I123="SPARROW",VLOOKUP(J123,#REF!,2,FALSE),"")))</f>
        <v>0</v>
      </c>
      <c r="I123" s="9" t="s">
        <v>309</v>
      </c>
      <c r="J123" s="14" t="s">
        <v>456</v>
      </c>
      <c r="K123" s="8">
        <f>IF(SUM(L123) &gt; 0, 1, 0)</f>
        <v>0</v>
      </c>
      <c r="L123" s="8">
        <f>IF(IF(I123="CERT_C",VLOOKUP(J123,'CERT C'!$A$2:$E$94,5,FALSE),IF(I123="DEFECT",VLOOKUP(J123,Defect!$B$2:$D$97,3,FALSE),IF(I123="SPARROW",VLOOKUP(J123,#REF!,3,FALSE),"")))="Unreviewed", 1, 0)</f>
        <v>0</v>
      </c>
    </row>
    <row r="124" spans="1:12">
      <c r="A124" s="31"/>
      <c r="B124" s="30"/>
      <c r="C124" s="8" t="s">
        <v>455</v>
      </c>
      <c r="D124" s="8" t="s">
        <v>454</v>
      </c>
      <c r="E124" s="8" t="s">
        <v>316</v>
      </c>
      <c r="F124" s="8" t="str">
        <f t="shared" si="19"/>
        <v>P</v>
      </c>
      <c r="G124" s="9">
        <f t="shared" si="20"/>
        <v>0</v>
      </c>
      <c r="H124" s="9">
        <f>IF(I124="CERT_C",VLOOKUP(J124,'CERT C'!$A$2:$D$94,4,FALSE),IF(I124="DEFECT",VLOOKUP(J124,Defect!$B$2:$C$97,2,FALSE),IF(I124="SPARROW",VLOOKUP(J124,#REF!,2,FALSE),"")))</f>
        <v>0</v>
      </c>
      <c r="I124" s="9" t="s">
        <v>309</v>
      </c>
      <c r="J124" s="14" t="s">
        <v>453</v>
      </c>
      <c r="K124" s="8">
        <f t="shared" ref="K124:K149" si="21">IF(SUM(L124) &gt; 0, 1, 0)</f>
        <v>0</v>
      </c>
      <c r="L124" s="8">
        <f>IF(IF(I124="CERT_C",VLOOKUP(J124,'CERT C'!$A$2:$E$94,5,FALSE),IF(I124="DEFECT",VLOOKUP(J124,Defect!$B$2:$D$97,3,FALSE),IF(I124="SPARROW",VLOOKUP(J124,#REF!,3,FALSE),"")))="Unreviewed", 1, 0)</f>
        <v>0</v>
      </c>
    </row>
    <row r="125" spans="1:12">
      <c r="A125" s="31"/>
      <c r="B125" s="30"/>
      <c r="C125" s="8" t="s">
        <v>452</v>
      </c>
      <c r="D125" s="8" t="s">
        <v>451</v>
      </c>
      <c r="E125" s="8" t="s">
        <v>292</v>
      </c>
      <c r="F125" s="8" t="str">
        <f t="shared" si="19"/>
        <v>P</v>
      </c>
      <c r="G125" s="9">
        <f t="shared" si="20"/>
        <v>0</v>
      </c>
      <c r="H125" s="9">
        <f>IF(I125="CERT_C",VLOOKUP(J125,'CERT C'!$A$2:$D$94,4,FALSE),IF(I125="DEFECT",VLOOKUP(J125,Defect!$B$2:$C$97,2,FALSE),IF(I125="SPARROW",VLOOKUP(J125,#REF!,2,FALSE),"")))</f>
        <v>0</v>
      </c>
      <c r="I125" s="9" t="s">
        <v>309</v>
      </c>
      <c r="J125" s="14" t="s">
        <v>450</v>
      </c>
      <c r="K125" s="8">
        <f t="shared" si="21"/>
        <v>0</v>
      </c>
      <c r="L125" s="8">
        <f>IF(IF(I125="CERT_C",VLOOKUP(J125,'CERT C'!$A$2:$E$94,5,FALSE),IF(I125="DEFECT",VLOOKUP(J125,Defect!$B$2:$D$97,3,FALSE),IF(I125="SPARROW",VLOOKUP(J125,#REF!,3,FALSE),"")))="Unreviewed", 1, 0)</f>
        <v>0</v>
      </c>
    </row>
    <row r="126" spans="1:12">
      <c r="A126" s="31"/>
      <c r="B126" s="30"/>
      <c r="C126" s="8" t="s">
        <v>449</v>
      </c>
      <c r="D126" s="8" t="s">
        <v>448</v>
      </c>
      <c r="E126" s="8" t="s">
        <v>297</v>
      </c>
      <c r="F126" s="8" t="str">
        <f t="shared" si="19"/>
        <v>P</v>
      </c>
      <c r="G126" s="9">
        <f t="shared" si="20"/>
        <v>0</v>
      </c>
      <c r="H126" s="9">
        <f>IF(I126="CERT_C",VLOOKUP(J126,'CERT C'!$A$2:$D$94,4,FALSE),IF(I126="DEFECT",VLOOKUP(J126,Defect!$B$2:$C$97,2,FALSE),IF(I126="SPARROW",VLOOKUP(J126,#REF!,2,FALSE),"")))</f>
        <v>0</v>
      </c>
      <c r="I126" s="9" t="s">
        <v>309</v>
      </c>
      <c r="J126" s="14" t="s">
        <v>447</v>
      </c>
      <c r="K126" s="8">
        <f t="shared" si="21"/>
        <v>0</v>
      </c>
      <c r="L126" s="8">
        <f>IF(IF(I126="CERT_C",VLOOKUP(J126,'CERT C'!$A$2:$E$94,5,FALSE),IF(I126="DEFECT",VLOOKUP(J126,Defect!$B$2:$D$97,3,FALSE),IF(I126="SPARROW",VLOOKUP(J126,#REF!,3,FALSE),"")))="Unreviewed", 1, 0)</f>
        <v>0</v>
      </c>
    </row>
    <row r="127" spans="1:12">
      <c r="A127" s="31"/>
      <c r="B127" s="25" t="s">
        <v>446</v>
      </c>
      <c r="C127" s="8" t="s">
        <v>445</v>
      </c>
      <c r="D127" s="8" t="s">
        <v>444</v>
      </c>
      <c r="E127" s="8" t="s">
        <v>297</v>
      </c>
      <c r="F127" s="8" t="str">
        <f t="shared" si="19"/>
        <v>P</v>
      </c>
      <c r="G127" s="9">
        <f t="shared" si="20"/>
        <v>0</v>
      </c>
      <c r="H127" s="9">
        <f>IF(I127="CERT_C",VLOOKUP(J127,'CERT C'!$A$2:$D$94,4,FALSE),IF(I127="DEFECT",VLOOKUP(J127,Defect!$B$2:$C$97,2,FALSE),IF(I127="SPARROW",VLOOKUP(J127,#REF!,2,FALSE),"")))</f>
        <v>0</v>
      </c>
      <c r="I127" s="9" t="s">
        <v>309</v>
      </c>
      <c r="J127" s="14" t="s">
        <v>443</v>
      </c>
      <c r="K127" s="8">
        <f t="shared" si="21"/>
        <v>0</v>
      </c>
      <c r="L127" s="8">
        <f>IF(IF(I127="CERT_C",VLOOKUP(J127,'CERT C'!$A$2:$E$94,5,FALSE),IF(I127="DEFECT",VLOOKUP(J127,Defect!$B$2:$D$97,3,FALSE),IF(I127="SPARROW",VLOOKUP(J127,#REF!,3,FALSE),"")))="Unreviewed", 1, 0)</f>
        <v>0</v>
      </c>
    </row>
    <row r="128" spans="1:12">
      <c r="A128" s="31"/>
      <c r="B128" s="30"/>
      <c r="C128" s="8" t="s">
        <v>442</v>
      </c>
      <c r="D128" s="8" t="s">
        <v>441</v>
      </c>
      <c r="E128" s="8" t="s">
        <v>316</v>
      </c>
      <c r="F128" s="8" t="str">
        <f t="shared" si="19"/>
        <v>P</v>
      </c>
      <c r="G128" s="9">
        <f t="shared" si="20"/>
        <v>0</v>
      </c>
      <c r="H128" s="9">
        <f>IF(I128="CERT_C",VLOOKUP(J128,'CERT C'!$A$2:$D$94,4,FALSE),IF(I128="DEFECT",VLOOKUP(J128,Defect!$B$2:$C$97,2,FALSE),IF(I128="SPARROW",VLOOKUP(J128,#REF!,2,FALSE),"")))</f>
        <v>0</v>
      </c>
      <c r="I128" s="9" t="s">
        <v>309</v>
      </c>
      <c r="J128" s="14" t="s">
        <v>440</v>
      </c>
      <c r="K128" s="8">
        <f t="shared" si="21"/>
        <v>0</v>
      </c>
      <c r="L128" s="8">
        <f>IF(IF(I128="CERT_C",VLOOKUP(J128,'CERT C'!$A$2:$E$94,5,FALSE),IF(I128="DEFECT",VLOOKUP(J128,Defect!$B$2:$D$97,3,FALSE),IF(I128="SPARROW",VLOOKUP(J128,#REF!,3,FALSE),"")))="Unreviewed", 1, 0)</f>
        <v>0</v>
      </c>
    </row>
    <row r="129" spans="1:12">
      <c r="A129" s="31"/>
      <c r="B129" s="31" t="s">
        <v>439</v>
      </c>
      <c r="C129" s="8" t="s">
        <v>438</v>
      </c>
      <c r="D129" s="8" t="s">
        <v>437</v>
      </c>
      <c r="E129" s="8" t="s">
        <v>292</v>
      </c>
      <c r="F129" s="8" t="str">
        <f t="shared" si="19"/>
        <v>P</v>
      </c>
      <c r="G129" s="9">
        <f t="shared" si="20"/>
        <v>0</v>
      </c>
      <c r="H129" s="9">
        <f>IF(I129="CERT_C",VLOOKUP(J129,'CERT C'!$A$2:$D$94,4,FALSE),IF(I129="DEFECT",VLOOKUP(J129,Defect!$B$2:$C$97,2,FALSE),IF(I129="SPARROW",VLOOKUP(J129,#REF!,2,FALSE),"")))</f>
        <v>0</v>
      </c>
      <c r="I129" s="9" t="s">
        <v>309</v>
      </c>
      <c r="J129" s="13" t="s">
        <v>436</v>
      </c>
      <c r="K129" s="8">
        <f t="shared" si="21"/>
        <v>0</v>
      </c>
      <c r="L129" s="8">
        <f>IF(IF(I129="CERT_C",VLOOKUP(J129,'CERT C'!$A$2:$E$94,5,FALSE),IF(I129="DEFECT",VLOOKUP(J129,Defect!$B$2:$D$97,3,FALSE),IF(I129="SPARROW",VLOOKUP(J129,#REF!,3,FALSE),"")))="Unreviewed", 1, 0)</f>
        <v>0</v>
      </c>
    </row>
    <row r="130" spans="1:12">
      <c r="A130" s="31"/>
      <c r="B130" s="31"/>
      <c r="C130" s="8" t="s">
        <v>435</v>
      </c>
      <c r="D130" s="8" t="s">
        <v>434</v>
      </c>
      <c r="E130" s="8" t="s">
        <v>292</v>
      </c>
      <c r="F130" s="8" t="str">
        <f t="shared" si="19"/>
        <v>P</v>
      </c>
      <c r="G130" s="9">
        <f t="shared" si="20"/>
        <v>0</v>
      </c>
      <c r="H130" s="9">
        <f>IF(I130="CERT_C",VLOOKUP(J130,'CERT C'!$A$2:$D$94,4,FALSE),IF(I130="DEFECT",VLOOKUP(J130,Defect!$B$2:$C$97,2,FALSE),IF(I130="SPARROW",VLOOKUP(J130,#REF!,2,FALSE),"")))</f>
        <v>0</v>
      </c>
      <c r="I130" s="9" t="s">
        <v>309</v>
      </c>
      <c r="J130" s="13" t="s">
        <v>433</v>
      </c>
      <c r="K130" s="8">
        <f t="shared" si="21"/>
        <v>0</v>
      </c>
      <c r="L130" s="8">
        <f>IF(IF(I130="CERT_C",VLOOKUP(J130,'CERT C'!$A$2:$E$94,5,FALSE),IF(I130="DEFECT",VLOOKUP(J130,Defect!$B$2:$D$97,3,FALSE),IF(I130="SPARROW",VLOOKUP(J130,#REF!,3,FALSE),"")))="Unreviewed", 1, 0)</f>
        <v>0</v>
      </c>
    </row>
    <row r="131" spans="1:12">
      <c r="A131" s="31"/>
      <c r="B131" s="31"/>
      <c r="C131" s="8" t="s">
        <v>432</v>
      </c>
      <c r="D131" s="8" t="s">
        <v>431</v>
      </c>
      <c r="E131" s="8" t="s">
        <v>292</v>
      </c>
      <c r="F131" s="8" t="str">
        <f t="shared" si="19"/>
        <v>P</v>
      </c>
      <c r="G131" s="9">
        <f t="shared" si="20"/>
        <v>0</v>
      </c>
      <c r="H131" s="9">
        <f>IF(I131="CERT_C",VLOOKUP(J131,'CERT C'!$A$2:$D$94,4,FALSE),IF(I131="DEFECT",VLOOKUP(J131,Defect!$B$2:$C$97,2,FALSE),IF(I131="SPARROW",VLOOKUP(J131,#REF!,2,FALSE),"")))</f>
        <v>0</v>
      </c>
      <c r="I131" s="9" t="s">
        <v>309</v>
      </c>
      <c r="J131" s="13" t="s">
        <v>430</v>
      </c>
      <c r="K131" s="8">
        <f t="shared" si="21"/>
        <v>0</v>
      </c>
      <c r="L131" s="8">
        <f>IF(IF(I131="CERT_C",VLOOKUP(J131,'CERT C'!$A$2:$E$94,5,FALSE),IF(I131="DEFECT",VLOOKUP(J131,Defect!$B$2:$D$97,3,FALSE),IF(I131="SPARROW",VLOOKUP(J131,#REF!,3,FALSE),"")))="Unreviewed", 1, 0)</f>
        <v>0</v>
      </c>
    </row>
    <row r="132" spans="1:12">
      <c r="A132" s="31"/>
      <c r="B132" s="31"/>
      <c r="C132" s="8" t="s">
        <v>429</v>
      </c>
      <c r="D132" s="8" t="s">
        <v>428</v>
      </c>
      <c r="E132" s="8" t="s">
        <v>292</v>
      </c>
      <c r="F132" s="8" t="str">
        <f t="shared" si="19"/>
        <v>P</v>
      </c>
      <c r="G132" s="9">
        <f t="shared" si="20"/>
        <v>0</v>
      </c>
      <c r="H132" s="9">
        <f>IF(I132="CERT_C",VLOOKUP(J132,'CERT C'!$A$2:$D$94,4,FALSE),IF(I132="DEFECT",VLOOKUP(J132,Defect!$B$2:$C$97,2,FALSE),IF(I132="SPARROW",VLOOKUP(J132,#REF!,2,FALSE),"")))</f>
        <v>0</v>
      </c>
      <c r="I132" s="9" t="s">
        <v>309</v>
      </c>
      <c r="J132" s="14" t="s">
        <v>427</v>
      </c>
      <c r="K132" s="8">
        <f t="shared" si="21"/>
        <v>0</v>
      </c>
      <c r="L132" s="8">
        <f>IF(IF(I132="CERT_C",VLOOKUP(J132,'CERT C'!$A$2:$E$94,5,FALSE),IF(I132="DEFECT",VLOOKUP(J132,Defect!$B$2:$D$97,3,FALSE),IF(I132="SPARROW",VLOOKUP(J132,#REF!,3,FALSE),"")))="Unreviewed", 1, 0)</f>
        <v>0</v>
      </c>
    </row>
    <row r="133" spans="1:12">
      <c r="A133" s="31"/>
      <c r="B133" s="31"/>
      <c r="C133" s="8" t="s">
        <v>426</v>
      </c>
      <c r="D133" s="8" t="s">
        <v>425</v>
      </c>
      <c r="E133" s="8" t="s">
        <v>292</v>
      </c>
      <c r="F133" s="8" t="str">
        <f t="shared" si="19"/>
        <v>P</v>
      </c>
      <c r="G133" s="9">
        <f t="shared" si="20"/>
        <v>0</v>
      </c>
      <c r="H133" s="9">
        <f>IF(I133="CERT_C",VLOOKUP(J133,'CERT C'!$A$2:$D$94,4,FALSE),IF(I133="DEFECT",VLOOKUP(J133,Defect!$B$2:$C$97,2,FALSE),IF(I133="SPARROW",VLOOKUP(J133,#REF!,2,FALSE),"")))</f>
        <v>0</v>
      </c>
      <c r="I133" s="9" t="s">
        <v>309</v>
      </c>
      <c r="J133" s="14" t="s">
        <v>767</v>
      </c>
      <c r="K133" s="8">
        <f t="shared" si="21"/>
        <v>0</v>
      </c>
      <c r="L133" s="8">
        <f>IF(IF(I133="CERT_C",VLOOKUP(J133,'CERT C'!$A$2:$E$94,5,FALSE),IF(I133="DEFECT",VLOOKUP(J133,Defect!$B$2:$D$97,3,FALSE),IF(I133="SPARROW",VLOOKUP(J133,#REF!,3,FALSE),"")))="Unreviewed", 1, 0)</f>
        <v>0</v>
      </c>
    </row>
    <row r="134" spans="1:12">
      <c r="A134" s="31"/>
      <c r="B134" s="31"/>
      <c r="C134" s="8" t="s">
        <v>424</v>
      </c>
      <c r="D134" s="8" t="s">
        <v>423</v>
      </c>
      <c r="E134" s="8" t="s">
        <v>316</v>
      </c>
      <c r="F134" s="8" t="str">
        <f t="shared" si="19"/>
        <v>P</v>
      </c>
      <c r="G134" s="9">
        <f t="shared" si="20"/>
        <v>0</v>
      </c>
      <c r="H134" s="9">
        <f>IF(I134="CERT_C",VLOOKUP(J134,'CERT C'!$A$2:$D$94,4,FALSE),IF(I134="DEFECT",VLOOKUP(J134,Defect!$B$2:$C$97,2,FALSE),IF(I134="SPARROW",VLOOKUP(J134,#REF!,2,FALSE),"")))</f>
        <v>0</v>
      </c>
      <c r="I134" s="9" t="s">
        <v>309</v>
      </c>
      <c r="J134" s="13" t="s">
        <v>422</v>
      </c>
      <c r="K134" s="8">
        <f t="shared" si="21"/>
        <v>0</v>
      </c>
      <c r="L134" s="8">
        <f>IF(IF(I134="CERT_C",VLOOKUP(J134,'CERT C'!$A$2:$E$94,5,FALSE),IF(I134="DEFECT",VLOOKUP(J134,Defect!$B$2:$D$97,3,FALSE),IF(I134="SPARROW",VLOOKUP(J134,#REF!,3,FALSE),"")))="Unreviewed", 1, 0)</f>
        <v>0</v>
      </c>
    </row>
    <row r="135" spans="1:12">
      <c r="A135" s="31"/>
      <c r="B135" s="31"/>
      <c r="C135" s="8" t="s">
        <v>421</v>
      </c>
      <c r="D135" s="8" t="s">
        <v>420</v>
      </c>
      <c r="E135" s="8" t="s">
        <v>316</v>
      </c>
      <c r="F135" s="8" t="str">
        <f t="shared" si="19"/>
        <v>P</v>
      </c>
      <c r="G135" s="9">
        <f t="shared" si="20"/>
        <v>0</v>
      </c>
      <c r="H135" s="9">
        <f>IF(I135="CERT_C",VLOOKUP(J135,'CERT C'!$A$2:$D$94,4,FALSE),IF(I135="DEFECT",VLOOKUP(J135,Defect!$B$2:$C$97,2,FALSE),IF(I135="SPARROW",VLOOKUP(J135,#REF!,2,FALSE),"")))</f>
        <v>0</v>
      </c>
      <c r="I135" s="9" t="s">
        <v>309</v>
      </c>
      <c r="J135" s="13" t="s">
        <v>419</v>
      </c>
      <c r="K135" s="8">
        <f t="shared" si="21"/>
        <v>0</v>
      </c>
      <c r="L135" s="8">
        <f>IF(IF(I135="CERT_C",VLOOKUP(J135,'CERT C'!$A$2:$E$94,5,FALSE),IF(I135="DEFECT",VLOOKUP(J135,Defect!$B$2:$D$97,3,FALSE),IF(I135="SPARROW",VLOOKUP(J135,#REF!,3,FALSE),"")))="Unreviewed", 1, 0)</f>
        <v>0</v>
      </c>
    </row>
    <row r="136" spans="1:12">
      <c r="A136" s="31"/>
      <c r="B136" s="31"/>
      <c r="C136" s="8" t="s">
        <v>418</v>
      </c>
      <c r="D136" s="8" t="s">
        <v>417</v>
      </c>
      <c r="E136" s="8" t="s">
        <v>316</v>
      </c>
      <c r="F136" s="8" t="str">
        <f t="shared" si="19"/>
        <v>P</v>
      </c>
      <c r="G136" s="9">
        <f t="shared" si="20"/>
        <v>0</v>
      </c>
      <c r="H136" s="9">
        <f>IF(I136="CERT_C",VLOOKUP(J136,'CERT C'!$A$2:$D$94,4,FALSE),IF(I136="DEFECT",VLOOKUP(J136,Defect!$B$2:$C$97,2,FALSE),IF(I136="SPARROW",VLOOKUP(J136,#REF!,2,FALSE),"")))</f>
        <v>0</v>
      </c>
      <c r="I136" s="9" t="s">
        <v>309</v>
      </c>
      <c r="J136" s="13" t="s">
        <v>416</v>
      </c>
      <c r="K136" s="8">
        <f t="shared" si="21"/>
        <v>0</v>
      </c>
      <c r="L136" s="8">
        <f>IF(IF(I136="CERT_C",VLOOKUP(J136,'CERT C'!$A$2:$E$94,5,FALSE),IF(I136="DEFECT",VLOOKUP(J136,Defect!$B$2:$D$97,3,FALSE),IF(I136="SPARROW",VLOOKUP(J136,#REF!,3,FALSE),"")))="Unreviewed", 1, 0)</f>
        <v>0</v>
      </c>
    </row>
    <row r="137" spans="1:12">
      <c r="A137" s="31"/>
      <c r="B137" s="31"/>
      <c r="C137" s="8" t="s">
        <v>415</v>
      </c>
      <c r="D137" s="8" t="s">
        <v>414</v>
      </c>
      <c r="E137" s="8" t="s">
        <v>316</v>
      </c>
      <c r="F137" s="8" t="str">
        <f t="shared" si="19"/>
        <v>P</v>
      </c>
      <c r="G137" s="9">
        <f t="shared" si="20"/>
        <v>0</v>
      </c>
      <c r="H137" s="9">
        <f>IF(I137="CERT_C",VLOOKUP(J137,'CERT C'!$A$2:$D$94,4,FALSE),IF(I137="DEFECT",VLOOKUP(J137,Defect!$B$2:$C$97,2,FALSE),IF(I137="SPARROW",VLOOKUP(J137,#REF!,2,FALSE),"")))</f>
        <v>0</v>
      </c>
      <c r="I137" s="9" t="s">
        <v>309</v>
      </c>
      <c r="J137" s="13" t="s">
        <v>768</v>
      </c>
      <c r="K137" s="8">
        <f t="shared" si="21"/>
        <v>0</v>
      </c>
      <c r="L137" s="8">
        <f>IF(IF(I137="CERT_C",VLOOKUP(J137,'CERT C'!$A$2:$E$94,5,FALSE),IF(I137="DEFECT",VLOOKUP(J137,Defect!$B$2:$D$97,3,FALSE),IF(I137="SPARROW",VLOOKUP(J137,#REF!,3,FALSE),"")))="Unreviewed", 1, 0)</f>
        <v>0</v>
      </c>
    </row>
    <row r="138" spans="1:12">
      <c r="A138" s="31"/>
      <c r="B138" s="31"/>
      <c r="C138" s="8" t="s">
        <v>413</v>
      </c>
      <c r="D138" s="8" t="s">
        <v>412</v>
      </c>
      <c r="E138" s="8" t="s">
        <v>316</v>
      </c>
      <c r="F138" s="8" t="str">
        <f t="shared" si="19"/>
        <v>P</v>
      </c>
      <c r="G138" s="9">
        <f t="shared" si="20"/>
        <v>0</v>
      </c>
      <c r="H138" s="9">
        <f>IF(I138="CERT_C",VLOOKUP(J138,'CERT C'!$A$2:$D$94,4,FALSE),IF(I138="DEFECT",VLOOKUP(J138,Defect!$B$2:$C$97,2,FALSE),IF(I138="SPARROW",VLOOKUP(J138,#REF!,2,FALSE),"")))</f>
        <v>0</v>
      </c>
      <c r="I138" s="9" t="s">
        <v>309</v>
      </c>
      <c r="J138" s="13" t="s">
        <v>411</v>
      </c>
      <c r="K138" s="8">
        <f t="shared" si="21"/>
        <v>0</v>
      </c>
      <c r="L138" s="8">
        <f>IF(IF(I138="CERT_C",VLOOKUP(J138,'CERT C'!$A$2:$E$94,5,FALSE),IF(I138="DEFECT",VLOOKUP(J138,Defect!$B$2:$D$97,3,FALSE),IF(I138="SPARROW",VLOOKUP(J138,#REF!,3,FALSE),"")))="Unreviewed", 1, 0)</f>
        <v>0</v>
      </c>
    </row>
    <row r="139" spans="1:12">
      <c r="A139" s="31"/>
      <c r="B139" s="31"/>
      <c r="C139" s="8" t="s">
        <v>410</v>
      </c>
      <c r="D139" s="8" t="s">
        <v>409</v>
      </c>
      <c r="E139" s="8" t="s">
        <v>292</v>
      </c>
      <c r="F139" s="8" t="str">
        <f t="shared" si="19"/>
        <v>P</v>
      </c>
      <c r="G139" s="9">
        <f t="shared" si="20"/>
        <v>0</v>
      </c>
      <c r="H139" s="9">
        <f>IF(I139="CERT_C",VLOOKUP(J139,'CERT C'!$A$2:$D$94,4,FALSE),IF(I139="DEFECT",VLOOKUP(J139,Defect!$B$2:$C$97,2,FALSE),IF(I139="SPARROW",VLOOKUP(J139,#REF!,2,FALSE),"")))</f>
        <v>0</v>
      </c>
      <c r="I139" s="9" t="s">
        <v>309</v>
      </c>
      <c r="J139" s="13" t="s">
        <v>408</v>
      </c>
      <c r="K139" s="8">
        <f t="shared" si="21"/>
        <v>0</v>
      </c>
      <c r="L139" s="8">
        <f>IF(IF(I139="CERT_C",VLOOKUP(J139,'CERT C'!$A$2:$E$94,5,FALSE),IF(I139="DEFECT",VLOOKUP(J139,Defect!$B$2:$D$97,3,FALSE),IF(I139="SPARROW",VLOOKUP(J139,#REF!,3,FALSE),"")))="Unreviewed", 1, 0)</f>
        <v>0</v>
      </c>
    </row>
    <row r="140" spans="1:12">
      <c r="A140" s="25" t="s">
        <v>407</v>
      </c>
      <c r="B140" s="25" t="s">
        <v>407</v>
      </c>
      <c r="C140" s="8" t="s">
        <v>406</v>
      </c>
      <c r="D140" s="8" t="s">
        <v>405</v>
      </c>
      <c r="E140" s="8" t="s">
        <v>297</v>
      </c>
      <c r="F140" s="8" t="str">
        <f t="shared" si="19"/>
        <v>P</v>
      </c>
      <c r="G140" s="9">
        <f t="shared" si="20"/>
        <v>0</v>
      </c>
      <c r="H140" s="9">
        <f>IF(I140="CERT_C",VLOOKUP(J140,'CERT C'!$A$2:$D$94,4,FALSE),IF(I140="DEFECT",VLOOKUP(J140,Defect!$B$2:$C$97,2,FALSE),IF(I140="SPARROW",VLOOKUP(J140,#REF!,2,FALSE),"")))</f>
        <v>0</v>
      </c>
      <c r="I140" s="9" t="s">
        <v>289</v>
      </c>
      <c r="J140" s="13" t="s">
        <v>343</v>
      </c>
      <c r="K140" s="8">
        <f t="shared" si="21"/>
        <v>0</v>
      </c>
      <c r="L140" s="8">
        <f>IF(IF(I140="CERT_C",VLOOKUP(J140,'CERT C'!$A$2:$E$94,5,FALSE),IF(I140="DEFECT",VLOOKUP(J140,Defect!$B$2:$D$97,3,FALSE),IF(I140="SPARROW",VLOOKUP(J140,#REF!,3,FALSE),"")))="Unreviewed", 1, 0)</f>
        <v>0</v>
      </c>
    </row>
    <row r="141" spans="1:12" ht="33">
      <c r="A141" s="30"/>
      <c r="B141" s="30"/>
      <c r="C141" s="8" t="s">
        <v>404</v>
      </c>
      <c r="D141" s="8" t="s">
        <v>403</v>
      </c>
      <c r="E141" s="8" t="s">
        <v>297</v>
      </c>
      <c r="F141" s="8" t="str">
        <f t="shared" si="19"/>
        <v>P</v>
      </c>
      <c r="G141" s="9">
        <f t="shared" si="20"/>
        <v>0</v>
      </c>
      <c r="H141" s="9">
        <f>IF(I141="CERT_C",VLOOKUP(J141,'CERT C'!$A$2:$D$94,4,FALSE),IF(I141="DEFECT",VLOOKUP(J141,Defect!$B$2:$C$97,2,FALSE),IF(I141="SPARROW",VLOOKUP(J141,#REF!,2,FALSE),"")))</f>
        <v>0</v>
      </c>
      <c r="I141" s="9" t="s">
        <v>289</v>
      </c>
      <c r="J141" s="14" t="s">
        <v>782</v>
      </c>
      <c r="K141" s="8">
        <f t="shared" si="21"/>
        <v>0</v>
      </c>
      <c r="L141" s="8">
        <f>IF(IF(I141="CERT_C",VLOOKUP(J141,'CERT C'!$A$2:$E$94,5,FALSE),IF(I141="DEFECT",VLOOKUP(J141,Defect!$B$2:$D$97,3,FALSE),IF(I141="SPARROW",VLOOKUP(J141,#REF!,3,FALSE),"")))="Unreviewed", 1, 0)</f>
        <v>0</v>
      </c>
    </row>
    <row r="142" spans="1:12">
      <c r="A142" s="30"/>
      <c r="B142" s="30"/>
      <c r="C142" s="8" t="s">
        <v>402</v>
      </c>
      <c r="D142" s="8" t="s">
        <v>401</v>
      </c>
      <c r="E142" s="8" t="s">
        <v>292</v>
      </c>
      <c r="F142" s="8" t="str">
        <f t="shared" si="19"/>
        <v>P</v>
      </c>
      <c r="G142" s="9">
        <f t="shared" si="20"/>
        <v>0</v>
      </c>
      <c r="H142" s="9">
        <f>IF(I142="CERT_C",VLOOKUP(J142,'CERT C'!$A$2:$D$94,4,FALSE),IF(I142="DEFECT",VLOOKUP(J142,Defect!$B$2:$C$97,2,FALSE),IF(I142="SPARROW",VLOOKUP(J142,#REF!,2,FALSE),"")))</f>
        <v>0</v>
      </c>
      <c r="I142" s="9" t="s">
        <v>309</v>
      </c>
      <c r="J142" s="13" t="s">
        <v>400</v>
      </c>
      <c r="K142" s="8">
        <f t="shared" si="21"/>
        <v>0</v>
      </c>
      <c r="L142" s="8">
        <f>IF(IF(I142="CERT_C",VLOOKUP(J142,'CERT C'!$A$2:$E$94,5,FALSE),IF(I142="DEFECT",VLOOKUP(J142,Defect!$B$2:$D$97,3,FALSE),IF(I142="SPARROW",VLOOKUP(J142,#REF!,3,FALSE),"")))="Unreviewed", 1, 0)</f>
        <v>0</v>
      </c>
    </row>
    <row r="143" spans="1:12">
      <c r="A143" s="30"/>
      <c r="B143" s="30"/>
      <c r="C143" s="8" t="s">
        <v>399</v>
      </c>
      <c r="D143" s="8" t="s">
        <v>398</v>
      </c>
      <c r="E143" s="8" t="s">
        <v>292</v>
      </c>
      <c r="F143" s="8" t="str">
        <f t="shared" si="19"/>
        <v>P</v>
      </c>
      <c r="G143" s="9">
        <f t="shared" si="20"/>
        <v>0</v>
      </c>
      <c r="H143" s="9">
        <f>IF(I143="CERT_C",VLOOKUP(J143,'CERT C'!$A$2:$D$94,4,FALSE),IF(I143="DEFECT",VLOOKUP(J143,Defect!$B$2:$C$97,2,FALSE),IF(I143="SPARROW",VLOOKUP(J143,#REF!,2,FALSE),"")))</f>
        <v>0</v>
      </c>
      <c r="I143" s="9" t="s">
        <v>309</v>
      </c>
      <c r="J143" s="13" t="s">
        <v>397</v>
      </c>
      <c r="K143" s="8">
        <f t="shared" si="21"/>
        <v>0</v>
      </c>
      <c r="L143" s="8">
        <f>IF(IF(I143="CERT_C",VLOOKUP(J143,'CERT C'!$A$2:$E$94,5,FALSE),IF(I143="DEFECT",VLOOKUP(J143,Defect!$B$2:$D$97,3,FALSE),IF(I143="SPARROW",VLOOKUP(J143,#REF!,3,FALSE),"")))="Unreviewed", 1, 0)</f>
        <v>0</v>
      </c>
    </row>
    <row r="144" spans="1:12">
      <c r="A144" s="30"/>
      <c r="B144" s="30"/>
      <c r="C144" s="8" t="s">
        <v>396</v>
      </c>
      <c r="D144" s="8" t="s">
        <v>395</v>
      </c>
      <c r="E144" s="8" t="s">
        <v>297</v>
      </c>
      <c r="F144" s="8" t="str">
        <f t="shared" si="19"/>
        <v>P</v>
      </c>
      <c r="G144" s="9">
        <f t="shared" si="20"/>
        <v>0</v>
      </c>
      <c r="H144" s="9">
        <f>IF(I144="CERT_C",VLOOKUP(J144,'CERT C'!$A$2:$D$94,4,FALSE),IF(I144="DEFECT",VLOOKUP(J144,Defect!$B$2:$C$97,2,FALSE),IF(I144="SPARROW",VLOOKUP(J144,#REF!,2,FALSE),"")))</f>
        <v>0</v>
      </c>
      <c r="I144" s="9" t="s">
        <v>309</v>
      </c>
      <c r="J144" s="14" t="s">
        <v>394</v>
      </c>
      <c r="K144" s="8">
        <f t="shared" si="21"/>
        <v>0</v>
      </c>
      <c r="L144" s="8">
        <f>IF(IF(I144="CERT_C",VLOOKUP(J144,'CERT C'!$A$2:$E$94,5,FALSE),IF(I144="DEFECT",VLOOKUP(J144,Defect!$B$2:$D$97,3,FALSE),IF(I144="SPARROW",VLOOKUP(J144,#REF!,3,FALSE),"")))="Unreviewed", 1, 0)</f>
        <v>0</v>
      </c>
    </row>
    <row r="145" spans="1:12">
      <c r="A145" s="30"/>
      <c r="B145" s="30"/>
      <c r="C145" s="8" t="s">
        <v>393</v>
      </c>
      <c r="D145" s="8" t="s">
        <v>392</v>
      </c>
      <c r="E145" s="8" t="s">
        <v>297</v>
      </c>
      <c r="F145" s="8" t="str">
        <f t="shared" si="19"/>
        <v>P</v>
      </c>
      <c r="G145" s="9">
        <f t="shared" si="20"/>
        <v>0</v>
      </c>
      <c r="H145" s="9">
        <f>IF(I145="CERT_C",VLOOKUP(J145,'CERT C'!$A$2:$D$94,4,FALSE),IF(I145="DEFECT",VLOOKUP(J145,Defect!$B$2:$C$97,2,FALSE),IF(I145="SPARROW",VLOOKUP(J145,#REF!,2,FALSE),"")))</f>
        <v>0</v>
      </c>
      <c r="I145" s="9" t="s">
        <v>309</v>
      </c>
      <c r="J145" s="14" t="s">
        <v>391</v>
      </c>
      <c r="K145" s="8">
        <f t="shared" si="21"/>
        <v>0</v>
      </c>
      <c r="L145" s="8">
        <f>IF(IF(I145="CERT_C",VLOOKUP(J145,'CERT C'!$A$2:$E$94,5,FALSE),IF(I145="DEFECT",VLOOKUP(J145,Defect!$B$2:$D$97,3,FALSE),IF(I145="SPARROW",VLOOKUP(J145,#REF!,3,FALSE),"")))="Unreviewed", 1, 0)</f>
        <v>0</v>
      </c>
    </row>
    <row r="146" spans="1:12">
      <c r="A146" s="30"/>
      <c r="B146" s="30"/>
      <c r="C146" s="8" t="s">
        <v>390</v>
      </c>
      <c r="D146" s="8" t="s">
        <v>389</v>
      </c>
      <c r="E146" s="8" t="s">
        <v>316</v>
      </c>
      <c r="F146" s="8" t="str">
        <f t="shared" si="19"/>
        <v>P</v>
      </c>
      <c r="G146" s="9">
        <f t="shared" si="20"/>
        <v>0</v>
      </c>
      <c r="H146" s="9">
        <f>IF(I146="CERT_C",VLOOKUP(J146,'CERT C'!$A$2:$D$94,4,FALSE),IF(I146="DEFECT",VLOOKUP(J146,Defect!$B$2:$C$97,2,FALSE),IF(I146="SPARROW",VLOOKUP(J146,#REF!,2,FALSE),"")))</f>
        <v>0</v>
      </c>
      <c r="I146" s="9" t="s">
        <v>309</v>
      </c>
      <c r="J146" s="14" t="s">
        <v>388</v>
      </c>
      <c r="K146" s="8">
        <f t="shared" si="21"/>
        <v>0</v>
      </c>
      <c r="L146" s="8">
        <f>IF(IF(I146="CERT_C",VLOOKUP(J146,'CERT C'!$A$2:$E$94,5,FALSE),IF(I146="DEFECT",VLOOKUP(J146,Defect!$B$2:$D$97,3,FALSE),IF(I146="SPARROW",VLOOKUP(J146,#REF!,3,FALSE),"")))="Unreviewed", 1, 0)</f>
        <v>0</v>
      </c>
    </row>
    <row r="147" spans="1:12">
      <c r="A147" s="30"/>
      <c r="B147" s="30"/>
      <c r="C147" s="8" t="s">
        <v>387</v>
      </c>
      <c r="D147" s="8" t="s">
        <v>386</v>
      </c>
      <c r="E147" s="8" t="s">
        <v>316</v>
      </c>
      <c r="F147" s="8" t="str">
        <f t="shared" si="19"/>
        <v>P</v>
      </c>
      <c r="G147" s="9">
        <f t="shared" si="20"/>
        <v>0</v>
      </c>
      <c r="H147" s="9">
        <f>IF(I147="CERT_C",VLOOKUP(J147,'CERT C'!$A$2:$D$94,4,FALSE),IF(I147="DEFECT",VLOOKUP(J147,Defect!$B$2:$C$97,2,FALSE),IF(I147="SPARROW",VLOOKUP(J147,#REF!,2,FALSE),"")))</f>
        <v>0</v>
      </c>
      <c r="I147" s="9" t="s">
        <v>309</v>
      </c>
      <c r="J147" s="13" t="s">
        <v>385</v>
      </c>
      <c r="K147" s="8">
        <f t="shared" si="21"/>
        <v>0</v>
      </c>
      <c r="L147" s="8">
        <f>IF(IF(I147="CERT_C",VLOOKUP(J147,'CERT C'!$A$2:$E$94,5,FALSE),IF(I147="DEFECT",VLOOKUP(J147,Defect!$B$2:$D$97,3,FALSE),IF(I147="SPARROW",VLOOKUP(J147,#REF!,3,FALSE),"")))="Unreviewed", 1, 0)</f>
        <v>0</v>
      </c>
    </row>
    <row r="148" spans="1:12">
      <c r="A148" s="30"/>
      <c r="B148" s="30"/>
      <c r="C148" s="8" t="s">
        <v>384</v>
      </c>
      <c r="D148" s="8" t="s">
        <v>383</v>
      </c>
      <c r="E148" s="8" t="s">
        <v>292</v>
      </c>
      <c r="F148" s="8" t="str">
        <f t="shared" si="19"/>
        <v>P</v>
      </c>
      <c r="G148" s="9">
        <f t="shared" si="20"/>
        <v>0</v>
      </c>
      <c r="H148" s="9">
        <f>IF(I148="CERT_C",VLOOKUP(J148,'CERT C'!$A$2:$D$94,4,FALSE),IF(I148="DEFECT",VLOOKUP(J148,Defect!$B$2:$C$97,2,FALSE),IF(I148="SPARROW",VLOOKUP(J148,#REF!,2,FALSE),"")))</f>
        <v>0</v>
      </c>
      <c r="I148" s="9" t="s">
        <v>289</v>
      </c>
      <c r="J148" s="13" t="s">
        <v>769</v>
      </c>
      <c r="K148" s="8">
        <f>IF(SUM(L148) &gt; 0, 1, 0)</f>
        <v>0</v>
      </c>
      <c r="L148" s="8">
        <f>IF(IF(I148="CERT_C",VLOOKUP(J148,'CERT C'!$A$2:$E$94,5,FALSE),IF(I148="DEFECT",VLOOKUP(J148,Defect!$B$2:$D$97,3,FALSE),IF(I148="SPARROW",VLOOKUP(J148,#REF!,3,FALSE),"")))="Unreviewed", 1, 0)</f>
        <v>0</v>
      </c>
    </row>
    <row r="149" spans="1:12">
      <c r="A149" s="30"/>
      <c r="B149" s="30"/>
      <c r="C149" s="8" t="s">
        <v>382</v>
      </c>
      <c r="D149" s="8" t="s">
        <v>381</v>
      </c>
      <c r="E149" s="8" t="s">
        <v>292</v>
      </c>
      <c r="F149" s="8" t="str">
        <f t="shared" si="19"/>
        <v>P</v>
      </c>
      <c r="G149" s="9">
        <f t="shared" si="20"/>
        <v>0</v>
      </c>
      <c r="H149" s="9">
        <f>IF(I149="CERT_C",VLOOKUP(J149,'CERT C'!$A$2:$D$94,4,FALSE),IF(I149="DEFECT",VLOOKUP(J149,Defect!$B$2:$C$97,2,FALSE),IF(I149="SPARROW",VLOOKUP(J149,#REF!,2,FALSE),"")))</f>
        <v>0</v>
      </c>
      <c r="I149" s="9" t="s">
        <v>289</v>
      </c>
      <c r="J149" s="13" t="s">
        <v>380</v>
      </c>
      <c r="K149" s="8">
        <f t="shared" si="21"/>
        <v>0</v>
      </c>
      <c r="L149" s="8">
        <f>IF(IF(I149="CERT_C",VLOOKUP(J149,'CERT C'!$A$2:$E$94,5,FALSE),IF(I149="DEFECT",VLOOKUP(J149,Defect!$B$2:$D$97,3,FALSE),IF(I149="SPARROW",VLOOKUP(J149,#REF!,3,FALSE),"")))="Unreviewed", 1, 0)</f>
        <v>0</v>
      </c>
    </row>
    <row r="150" spans="1:12">
      <c r="A150" s="30"/>
      <c r="B150" s="30"/>
      <c r="C150" s="25" t="s">
        <v>379</v>
      </c>
      <c r="D150" s="25" t="s">
        <v>378</v>
      </c>
      <c r="E150" s="25" t="s">
        <v>297</v>
      </c>
      <c r="F150" s="25" t="str">
        <f t="shared" si="19"/>
        <v>P</v>
      </c>
      <c r="G150" s="27">
        <f>SUMIF(H150:H154,"&lt;&gt;#N/A")</f>
        <v>0</v>
      </c>
      <c r="H150" s="9">
        <f>IF(I150="CERT_C",VLOOKUP(J150,'CERT C'!$A$2:$D$94,4,FALSE),IF(I150="DEFECT",VLOOKUP(J150,Defect!$B$2:$C$97,2,FALSE),IF(I150="SPARROW",VLOOKUP(J150,#REF!,2,FALSE),"")))</f>
        <v>0</v>
      </c>
      <c r="I150" s="9" t="s">
        <v>289</v>
      </c>
      <c r="J150" s="14" t="s">
        <v>377</v>
      </c>
      <c r="K150" s="25">
        <f>IF(SUM(L150:L154) &gt; 0, 1, 0)</f>
        <v>0</v>
      </c>
      <c r="L150" s="8">
        <f>IF(IF(I150="CERT_C",VLOOKUP(J150,'CERT C'!$A$2:$E$94,5,FALSE),IF(I150="DEFECT",VLOOKUP(J150,Defect!$B$2:$D$97,3,FALSE),IF(I150="SPARROW",VLOOKUP(J150,#REF!,3,FALSE),"")))="Unreviewed", 1, 0)</f>
        <v>0</v>
      </c>
    </row>
    <row r="151" spans="1:12">
      <c r="A151" s="30"/>
      <c r="B151" s="30"/>
      <c r="C151" s="30"/>
      <c r="D151" s="30"/>
      <c r="E151" s="30"/>
      <c r="F151" s="30"/>
      <c r="G151" s="29"/>
      <c r="H151" s="9">
        <f>IF(I151="CERT_C",VLOOKUP(J151,'CERT C'!$A$2:$D$94,4,FALSE),IF(I151="DEFECT",VLOOKUP(J151,Defect!$B$2:$C$97,2,FALSE),IF(I151="SPARROW",VLOOKUP(J151,#REF!,2,FALSE),"")))</f>
        <v>0</v>
      </c>
      <c r="I151" s="9" t="s">
        <v>289</v>
      </c>
      <c r="J151" s="14" t="s">
        <v>376</v>
      </c>
      <c r="K151" s="30"/>
      <c r="L151" s="8">
        <f>IF(IF(I151="CERT_C",VLOOKUP(J151,'CERT C'!$A$2:$E$94,5,FALSE),IF(I151="DEFECT",VLOOKUP(J151,Defect!$B$2:$D$97,3,FALSE),IF(I151="SPARROW",VLOOKUP(J151,#REF!,3,FALSE),"")))="Unreviewed", 1, 0)</f>
        <v>0</v>
      </c>
    </row>
    <row r="152" spans="1:12">
      <c r="A152" s="30"/>
      <c r="B152" s="30"/>
      <c r="C152" s="30"/>
      <c r="D152" s="30"/>
      <c r="E152" s="30"/>
      <c r="F152" s="30"/>
      <c r="G152" s="29"/>
      <c r="H152" s="9">
        <f>IF(I152="CERT_C",VLOOKUP(J152,'CERT C'!$A$2:$D$94,4,FALSE),IF(I152="DEFECT",VLOOKUP(J152,Defect!$B$2:$C$97,2,FALSE),IF(I152="SPARROW",VLOOKUP(J152,#REF!,2,FALSE),"")))</f>
        <v>0</v>
      </c>
      <c r="I152" s="9" t="s">
        <v>289</v>
      </c>
      <c r="J152" s="14" t="s">
        <v>375</v>
      </c>
      <c r="K152" s="30"/>
      <c r="L152" s="8">
        <f>IF(IF(I152="CERT_C",VLOOKUP(J152,'CERT C'!$A$2:$E$94,5,FALSE),IF(I152="DEFECT",VLOOKUP(J152,Defect!$B$2:$D$97,3,FALSE),IF(I152="SPARROW",VLOOKUP(J152,#REF!,3,FALSE),"")))="Unreviewed", 1, 0)</f>
        <v>0</v>
      </c>
    </row>
    <row r="153" spans="1:12">
      <c r="A153" s="30"/>
      <c r="B153" s="30"/>
      <c r="C153" s="30"/>
      <c r="D153" s="30"/>
      <c r="E153" s="30"/>
      <c r="F153" s="30"/>
      <c r="G153" s="29"/>
      <c r="H153" s="9">
        <f>IF(I153="CERT_C",VLOOKUP(J153,'CERT C'!$A$2:$D$94,4,FALSE),IF(I153="DEFECT",VLOOKUP(J153,Defect!$B$2:$C$97,2,FALSE),IF(I153="SPARROW",VLOOKUP(J153,#REF!,2,FALSE),"")))</f>
        <v>0</v>
      </c>
      <c r="I153" s="9" t="s">
        <v>289</v>
      </c>
      <c r="J153" s="14" t="s">
        <v>374</v>
      </c>
      <c r="K153" s="30"/>
      <c r="L153" s="8">
        <f>IF(IF(I153="CERT_C",VLOOKUP(J153,'CERT C'!$A$2:$E$94,5,FALSE),IF(I153="DEFECT",VLOOKUP(J153,Defect!$B$2:$D$97,3,FALSE),IF(I153="SPARROW",VLOOKUP(J153,#REF!,3,FALSE),"")))="Unreviewed", 1, 0)</f>
        <v>0</v>
      </c>
    </row>
    <row r="154" spans="1:12">
      <c r="A154" s="30"/>
      <c r="B154" s="30"/>
      <c r="C154" s="26"/>
      <c r="D154" s="26"/>
      <c r="E154" s="26"/>
      <c r="F154" s="26"/>
      <c r="G154" s="28"/>
      <c r="H154" s="9">
        <f>IF(I154="CERT_C",VLOOKUP(J154,'CERT C'!$A$2:$D$94,4,FALSE),IF(I154="DEFECT",VLOOKUP(J154,Defect!$B$2:$C$97,2,FALSE),IF(I154="SPARROW",VLOOKUP(J154,#REF!,2,FALSE),"")))</f>
        <v>0</v>
      </c>
      <c r="I154" s="9" t="s">
        <v>289</v>
      </c>
      <c r="J154" s="14" t="s">
        <v>342</v>
      </c>
      <c r="K154" s="26"/>
      <c r="L154" s="8">
        <f>IF(IF(I154="CERT_C",VLOOKUP(J154,'CERT C'!$A$2:$E$94,5,FALSE),IF(I154="DEFECT",VLOOKUP(J154,Defect!$B$2:$D$97,3,FALSE),IF(I154="SPARROW",VLOOKUP(J154,#REF!,3,FALSE),"")))="Unreviewed", 1, 0)</f>
        <v>0</v>
      </c>
    </row>
    <row r="155" spans="1:12">
      <c r="A155" s="30"/>
      <c r="B155" s="30"/>
      <c r="C155" s="25" t="s">
        <v>373</v>
      </c>
      <c r="D155" s="25" t="s">
        <v>372</v>
      </c>
      <c r="E155" s="25" t="s">
        <v>297</v>
      </c>
      <c r="F155" s="25" t="str">
        <f>IF(G155="","",IF(G155&lt;=0,"P","F"))</f>
        <v>P</v>
      </c>
      <c r="G155" s="27">
        <f>SUMIF(H155:H159,"&lt;&gt;#N/A")</f>
        <v>0</v>
      </c>
      <c r="H155" s="9">
        <f>IF(I155="CERT_C",VLOOKUP(J155,'CERT C'!$A$2:$D$94,4,FALSE),IF(I155="DEFECT",VLOOKUP(J155,Defect!$B$2:$C$97,2,FALSE),IF(I155="SPARROW",VLOOKUP(J155,#REF!,2,FALSE),"")))</f>
        <v>0</v>
      </c>
      <c r="I155" s="9" t="s">
        <v>289</v>
      </c>
      <c r="J155" s="14" t="s">
        <v>342</v>
      </c>
      <c r="K155" s="25">
        <f>IF(SUM(L155:L159) &gt; 0, 1, 0)</f>
        <v>0</v>
      </c>
      <c r="L155" s="8">
        <f>IF(IF(I155="CERT_C",VLOOKUP(J155,'CERT C'!$A$2:$E$94,5,FALSE),IF(I155="DEFECT",VLOOKUP(J155,Defect!$B$2:$D$97,3,FALSE),IF(I155="SPARROW",VLOOKUP(J155,#REF!,3,FALSE),"")))="Unreviewed", 1, 0)</f>
        <v>0</v>
      </c>
    </row>
    <row r="156" spans="1:12">
      <c r="A156" s="30"/>
      <c r="B156" s="30"/>
      <c r="C156" s="30"/>
      <c r="D156" s="30"/>
      <c r="E156" s="30"/>
      <c r="F156" s="30"/>
      <c r="G156" s="29"/>
      <c r="H156" s="9">
        <f>IF(I156="CERT_C",VLOOKUP(J156,'CERT C'!$A$2:$D$94,4,FALSE),IF(I156="DEFECT",VLOOKUP(J156,Defect!$B$2:$C$97,2,FALSE),IF(I156="SPARROW",VLOOKUP(J156,#REF!,2,FALSE),"")))</f>
        <v>0</v>
      </c>
      <c r="I156" s="9" t="s">
        <v>289</v>
      </c>
      <c r="J156" s="14" t="s">
        <v>371</v>
      </c>
      <c r="K156" s="30"/>
      <c r="L156" s="8">
        <f>IF(IF(I156="CERT_C",VLOOKUP(J156,'CERT C'!$A$2:$E$94,5,FALSE),IF(I156="DEFECT",VLOOKUP(J156,Defect!$B$2:$D$97,3,FALSE),IF(I156="SPARROW",VLOOKUP(J156,#REF!,3,FALSE),"")))="Unreviewed", 1, 0)</f>
        <v>0</v>
      </c>
    </row>
    <row r="157" spans="1:12">
      <c r="A157" s="30"/>
      <c r="B157" s="30"/>
      <c r="C157" s="30"/>
      <c r="D157" s="30"/>
      <c r="E157" s="30"/>
      <c r="F157" s="30"/>
      <c r="G157" s="29"/>
      <c r="H157" s="9">
        <f>IF(I157="CERT_C",VLOOKUP(J157,'CERT C'!$A$2:$D$94,4,FALSE),IF(I157="DEFECT",VLOOKUP(J157,Defect!$B$2:$C$97,2,FALSE),IF(I157="SPARROW",VLOOKUP(J157,#REF!,2,FALSE),"")))</f>
        <v>0</v>
      </c>
      <c r="I157" s="9" t="s">
        <v>289</v>
      </c>
      <c r="J157" s="14" t="s">
        <v>370</v>
      </c>
      <c r="K157" s="30"/>
      <c r="L157" s="8">
        <f>IF(IF(I157="CERT_C",VLOOKUP(J157,'CERT C'!$A$2:$E$94,5,FALSE),IF(I157="DEFECT",VLOOKUP(J157,Defect!$B$2:$D$97,3,FALSE),IF(I157="SPARROW",VLOOKUP(J157,#REF!,3,FALSE),"")))="Unreviewed", 1, 0)</f>
        <v>0</v>
      </c>
    </row>
    <row r="158" spans="1:12">
      <c r="A158" s="30"/>
      <c r="B158" s="30"/>
      <c r="C158" s="30"/>
      <c r="D158" s="30"/>
      <c r="E158" s="30"/>
      <c r="F158" s="30"/>
      <c r="G158" s="29"/>
      <c r="H158" s="9">
        <f>IF(I158="CERT_C",VLOOKUP(J158,'CERT C'!$A$2:$D$94,4,FALSE),IF(I158="DEFECT",VLOOKUP(J158,Defect!$B$2:$C$97,2,FALSE),IF(I158="SPARROW",VLOOKUP(J158,#REF!,2,FALSE),"")))</f>
        <v>0</v>
      </c>
      <c r="I158" s="9" t="s">
        <v>289</v>
      </c>
      <c r="J158" s="14" t="s">
        <v>369</v>
      </c>
      <c r="K158" s="30"/>
      <c r="L158" s="8">
        <f>IF(IF(I158="CERT_C",VLOOKUP(J158,'CERT C'!$A$2:$E$94,5,FALSE),IF(I158="DEFECT",VLOOKUP(J158,Defect!$B$2:$D$97,3,FALSE),IF(I158="SPARROW",VLOOKUP(J158,#REF!,3,FALSE),"")))="Unreviewed", 1, 0)</f>
        <v>0</v>
      </c>
    </row>
    <row r="159" spans="1:12">
      <c r="A159" s="30"/>
      <c r="B159" s="30"/>
      <c r="C159" s="26"/>
      <c r="D159" s="26"/>
      <c r="E159" s="26"/>
      <c r="F159" s="26"/>
      <c r="G159" s="28"/>
      <c r="H159" s="9">
        <f>IF(I159="CERT_C",VLOOKUP(J159,'CERT C'!$A$2:$D$94,4,FALSE),IF(I159="DEFECT",VLOOKUP(J159,Defect!$B$2:$C$97,2,FALSE),IF(I159="SPARROW",VLOOKUP(J159,#REF!,2,FALSE),"")))</f>
        <v>0</v>
      </c>
      <c r="I159" s="9" t="s">
        <v>289</v>
      </c>
      <c r="J159" s="14" t="s">
        <v>368</v>
      </c>
      <c r="K159" s="26"/>
      <c r="L159" s="8">
        <f>IF(IF(I159="CERT_C",VLOOKUP(J159,'CERT C'!$A$2:$E$94,5,FALSE),IF(I159="DEFECT",VLOOKUP(J159,Defect!$B$2:$D$97,3,FALSE),IF(I159="SPARROW",VLOOKUP(J159,#REF!,3,FALSE),"")))="Unreviewed", 1, 0)</f>
        <v>0</v>
      </c>
    </row>
    <row r="160" spans="1:12">
      <c r="A160" s="30"/>
      <c r="B160" s="30"/>
      <c r="C160" s="25" t="s">
        <v>367</v>
      </c>
      <c r="D160" s="25" t="s">
        <v>366</v>
      </c>
      <c r="E160" s="25" t="s">
        <v>297</v>
      </c>
      <c r="F160" s="25" t="str">
        <f>IF(G160="","",IF(G160&lt;=0,"P","F"))</f>
        <v>P</v>
      </c>
      <c r="G160" s="27">
        <f>SUMIF(H160:H170,"&lt;&gt;#N/A")</f>
        <v>0</v>
      </c>
      <c r="H160" s="9">
        <f>IF(I160="CERT_C",VLOOKUP(J160,'CERT C'!$A$2:$D$94,4,FALSE),IF(I160="DEFECT",VLOOKUP(J160,Defect!$B$2:$C$97,2,FALSE),IF(I160="SPARROW",VLOOKUP(J160,#REF!,2,FALSE),"")))</f>
        <v>0</v>
      </c>
      <c r="I160" s="9" t="s">
        <v>289</v>
      </c>
      <c r="J160" s="14" t="s">
        <v>365</v>
      </c>
      <c r="K160" s="25">
        <f>IF(SUM(L160:L170) &gt; 0, 1, 0)</f>
        <v>0</v>
      </c>
      <c r="L160" s="8">
        <f>IF(IF(I160="CERT_C",VLOOKUP(J160,'CERT C'!$A$2:$E$94,5,FALSE),IF(I160="DEFECT",VLOOKUP(J160,Defect!$B$2:$D$97,3,FALSE),IF(I160="SPARROW",VLOOKUP(J160,#REF!,3,FALSE),"")))="Unreviewed", 1, 0)</f>
        <v>0</v>
      </c>
    </row>
    <row r="161" spans="1:12">
      <c r="A161" s="30"/>
      <c r="B161" s="30"/>
      <c r="C161" s="30"/>
      <c r="D161" s="30"/>
      <c r="E161" s="30"/>
      <c r="F161" s="30"/>
      <c r="G161" s="29"/>
      <c r="H161" s="9">
        <f>IF(I161="CERT_C",VLOOKUP(J161,'CERT C'!$A$2:$D$94,4,FALSE),IF(I161="DEFECT",VLOOKUP(J161,Defect!$B$2:$C$97,2,FALSE),IF(I161="SPARROW",VLOOKUP(J161,#REF!,2,FALSE),"")))</f>
        <v>0</v>
      </c>
      <c r="I161" s="9" t="s">
        <v>289</v>
      </c>
      <c r="J161" s="14" t="s">
        <v>342</v>
      </c>
      <c r="K161" s="30"/>
      <c r="L161" s="8">
        <f>IF(IF(I161="CERT_C",VLOOKUP(J161,'CERT C'!$A$2:$E$94,5,FALSE),IF(I161="DEFECT",VLOOKUP(J161,Defect!$B$2:$D$97,3,FALSE),IF(I161="SPARROW",VLOOKUP(J161,#REF!,3,FALSE),"")))="Unreviewed", 1, 0)</f>
        <v>0</v>
      </c>
    </row>
    <row r="162" spans="1:12">
      <c r="A162" s="30"/>
      <c r="B162" s="30"/>
      <c r="C162" s="30"/>
      <c r="D162" s="30"/>
      <c r="E162" s="30"/>
      <c r="F162" s="30"/>
      <c r="G162" s="29"/>
      <c r="H162" s="9">
        <f>IF(I162="CERT_C",VLOOKUP(J162,'CERT C'!$A$2:$D$94,4,FALSE),IF(I162="DEFECT",VLOOKUP(J162,Defect!$B$2:$C$97,2,FALSE),IF(I162="SPARROW",VLOOKUP(J162,#REF!,2,FALSE),"")))</f>
        <v>0</v>
      </c>
      <c r="I162" s="9" t="s">
        <v>289</v>
      </c>
      <c r="J162" s="14" t="s">
        <v>364</v>
      </c>
      <c r="K162" s="30"/>
      <c r="L162" s="8">
        <f>IF(IF(I162="CERT_C",VLOOKUP(J162,'CERT C'!$A$2:$E$94,5,FALSE),IF(I162="DEFECT",VLOOKUP(J162,Defect!$B$2:$D$97,3,FALSE),IF(I162="SPARROW",VLOOKUP(J162,#REF!,3,FALSE),"")))="Unreviewed", 1, 0)</f>
        <v>0</v>
      </c>
    </row>
    <row r="163" spans="1:12">
      <c r="A163" s="30"/>
      <c r="B163" s="30"/>
      <c r="C163" s="30"/>
      <c r="D163" s="30"/>
      <c r="E163" s="30"/>
      <c r="F163" s="30"/>
      <c r="G163" s="29"/>
      <c r="H163" s="9">
        <f>IF(I163="CERT_C",VLOOKUP(J163,'CERT C'!$A$2:$D$94,4,FALSE),IF(I163="DEFECT",VLOOKUP(J163,Defect!$B$2:$C$97,2,FALSE),IF(I163="SPARROW",VLOOKUP(J163,#REF!,2,FALSE),"")))</f>
        <v>0</v>
      </c>
      <c r="I163" s="9" t="s">
        <v>289</v>
      </c>
      <c r="J163" s="14" t="s">
        <v>363</v>
      </c>
      <c r="K163" s="30"/>
      <c r="L163" s="8">
        <f>IF(IF(I163="CERT_C",VLOOKUP(J163,'CERT C'!$A$2:$E$94,5,FALSE),IF(I163="DEFECT",VLOOKUP(J163,Defect!$B$2:$D$97,3,FALSE),IF(I163="SPARROW",VLOOKUP(J163,#REF!,3,FALSE),"")))="Unreviewed", 1, 0)</f>
        <v>0</v>
      </c>
    </row>
    <row r="164" spans="1:12">
      <c r="A164" s="30"/>
      <c r="B164" s="30"/>
      <c r="C164" s="30"/>
      <c r="D164" s="30"/>
      <c r="E164" s="30"/>
      <c r="F164" s="30"/>
      <c r="G164" s="29"/>
      <c r="H164" s="9">
        <f>IF(I164="CERT_C",VLOOKUP(J164,'CERT C'!$A$2:$D$94,4,FALSE),IF(I164="DEFECT",VLOOKUP(J164,Defect!$B$2:$C$97,2,FALSE),IF(I164="SPARROW",VLOOKUP(J164,#REF!,2,FALSE),"")))</f>
        <v>0</v>
      </c>
      <c r="I164" s="9" t="s">
        <v>289</v>
      </c>
      <c r="J164" s="14" t="s">
        <v>359</v>
      </c>
      <c r="K164" s="30"/>
      <c r="L164" s="8">
        <f>IF(IF(I164="CERT_C",VLOOKUP(J164,'CERT C'!$A$2:$E$94,5,FALSE),IF(I164="DEFECT",VLOOKUP(J164,Defect!$B$2:$D$97,3,FALSE),IF(I164="SPARROW",VLOOKUP(J164,#REF!,3,FALSE),"")))="Unreviewed", 1, 0)</f>
        <v>0</v>
      </c>
    </row>
    <row r="165" spans="1:12">
      <c r="A165" s="30"/>
      <c r="B165" s="30"/>
      <c r="C165" s="30"/>
      <c r="D165" s="30"/>
      <c r="E165" s="30"/>
      <c r="F165" s="30"/>
      <c r="G165" s="29"/>
      <c r="H165" s="9">
        <f>IF(I165="CERT_C",VLOOKUP(J165,'CERT C'!$A$2:$D$94,4,FALSE),IF(I165="DEFECT",VLOOKUP(J165,Defect!$B$2:$C$97,2,FALSE),IF(I165="SPARROW",VLOOKUP(J165,#REF!,2,FALSE),"")))</f>
        <v>0</v>
      </c>
      <c r="I165" s="9" t="s">
        <v>289</v>
      </c>
      <c r="J165" s="14" t="s">
        <v>358</v>
      </c>
      <c r="K165" s="30"/>
      <c r="L165" s="8">
        <f>IF(IF(I165="CERT_C",VLOOKUP(J165,'CERT C'!$A$2:$E$94,5,FALSE),IF(I165="DEFECT",VLOOKUP(J165,Defect!$B$2:$D$97,3,FALSE),IF(I165="SPARROW",VLOOKUP(J165,#REF!,3,FALSE),"")))="Unreviewed", 1, 0)</f>
        <v>0</v>
      </c>
    </row>
    <row r="166" spans="1:12">
      <c r="A166" s="30"/>
      <c r="B166" s="30"/>
      <c r="C166" s="30"/>
      <c r="D166" s="30"/>
      <c r="E166" s="30"/>
      <c r="F166" s="30"/>
      <c r="G166" s="29"/>
      <c r="H166" s="9">
        <f>IF(I166="CERT_C",VLOOKUP(J166,'CERT C'!$A$2:$D$94,4,FALSE),IF(I166="DEFECT",VLOOKUP(J166,Defect!$B$2:$C$97,2,FALSE),IF(I166="SPARROW",VLOOKUP(J166,#REF!,2,FALSE),"")))</f>
        <v>0</v>
      </c>
      <c r="I166" s="9" t="s">
        <v>289</v>
      </c>
      <c r="J166" s="14" t="s">
        <v>344</v>
      </c>
      <c r="K166" s="30"/>
      <c r="L166" s="8">
        <f>IF(IF(I166="CERT_C",VLOOKUP(J166,'CERT C'!$A$2:$E$94,5,FALSE),IF(I166="DEFECT",VLOOKUP(J166,Defect!$B$2:$D$97,3,FALSE),IF(I166="SPARROW",VLOOKUP(J166,#REF!,3,FALSE),"")))="Unreviewed", 1, 0)</f>
        <v>0</v>
      </c>
    </row>
    <row r="167" spans="1:12">
      <c r="A167" s="30"/>
      <c r="B167" s="30"/>
      <c r="C167" s="30"/>
      <c r="D167" s="30"/>
      <c r="E167" s="30"/>
      <c r="F167" s="30"/>
      <c r="G167" s="29"/>
      <c r="H167" s="9">
        <f>IF(I167="CERT_C",VLOOKUP(J167,'CERT C'!$A$2:$D$94,4,FALSE),IF(I167="DEFECT",VLOOKUP(J167,Defect!$B$2:$C$97,2,FALSE),IF(I167="SPARROW",VLOOKUP(J167,#REF!,2,FALSE),"")))</f>
        <v>0</v>
      </c>
      <c r="I167" s="9" t="s">
        <v>289</v>
      </c>
      <c r="J167" s="14" t="s">
        <v>362</v>
      </c>
      <c r="K167" s="30"/>
      <c r="L167" s="8">
        <f>IF(IF(I167="CERT_C",VLOOKUP(J167,'CERT C'!$A$2:$E$94,5,FALSE),IF(I167="DEFECT",VLOOKUP(J167,Defect!$B$2:$D$97,3,FALSE),IF(I167="SPARROW",VLOOKUP(J167,#REF!,3,FALSE),"")))="Unreviewed", 1, 0)</f>
        <v>0</v>
      </c>
    </row>
    <row r="168" spans="1:12">
      <c r="A168" s="30"/>
      <c r="B168" s="30"/>
      <c r="C168" s="30"/>
      <c r="D168" s="30"/>
      <c r="E168" s="30"/>
      <c r="F168" s="30"/>
      <c r="G168" s="29"/>
      <c r="H168" s="9">
        <f>IF(I168="CERT_C",VLOOKUP(J168,'CERT C'!$A$2:$D$94,4,FALSE),IF(I168="DEFECT",VLOOKUP(J168,Defect!$B$2:$C$97,2,FALSE),IF(I168="SPARROW",VLOOKUP(J168,#REF!,2,FALSE),"")))</f>
        <v>0</v>
      </c>
      <c r="I168" s="9" t="s">
        <v>289</v>
      </c>
      <c r="J168" s="14" t="s">
        <v>357</v>
      </c>
      <c r="K168" s="30"/>
      <c r="L168" s="8">
        <f>IF(IF(I168="CERT_C",VLOOKUP(J168,'CERT C'!$A$2:$E$94,5,FALSE),IF(I168="DEFECT",VLOOKUP(J168,Defect!$B$2:$D$97,3,FALSE),IF(I168="SPARROW",VLOOKUP(J168,#REF!,3,FALSE),"")))="Unreviewed", 1, 0)</f>
        <v>0</v>
      </c>
    </row>
    <row r="169" spans="1:12">
      <c r="A169" s="30"/>
      <c r="B169" s="30"/>
      <c r="C169" s="30"/>
      <c r="D169" s="30"/>
      <c r="E169" s="30"/>
      <c r="F169" s="30"/>
      <c r="G169" s="29"/>
      <c r="H169" s="9">
        <f>IF(I169="CERT_C",VLOOKUP(J169,'CERT C'!$A$2:$D$94,4,FALSE),IF(I169="DEFECT",VLOOKUP(J169,Defect!$B$2:$C$97,2,FALSE),IF(I169="SPARROW",VLOOKUP(J169,#REF!,2,FALSE),"")))</f>
        <v>0</v>
      </c>
      <c r="I169" s="9" t="s">
        <v>289</v>
      </c>
      <c r="J169" s="14" t="s">
        <v>356</v>
      </c>
      <c r="K169" s="30"/>
      <c r="L169" s="8">
        <f>IF(IF(I169="CERT_C",VLOOKUP(J169,'CERT C'!$A$2:$E$94,5,FALSE),IF(I169="DEFECT",VLOOKUP(J169,Defect!$B$2:$D$97,3,FALSE),IF(I169="SPARROW",VLOOKUP(J169,#REF!,3,FALSE),"")))="Unreviewed", 1, 0)</f>
        <v>0</v>
      </c>
    </row>
    <row r="170" spans="1:12">
      <c r="A170" s="30"/>
      <c r="B170" s="30"/>
      <c r="C170" s="26"/>
      <c r="D170" s="26"/>
      <c r="E170" s="26"/>
      <c r="F170" s="26"/>
      <c r="G170" s="28"/>
      <c r="H170" s="9">
        <f>IF(I170="CERT_C",VLOOKUP(J170,'CERT C'!$A$2:$D$94,4,FALSE),IF(I170="DEFECT",VLOOKUP(J170,Defect!$B$2:$C$97,2,FALSE),IF(I170="SPARROW",VLOOKUP(J170,#REF!,2,FALSE),"")))</f>
        <v>0</v>
      </c>
      <c r="I170" s="9" t="s">
        <v>289</v>
      </c>
      <c r="J170" s="14" t="s">
        <v>343</v>
      </c>
      <c r="K170" s="26"/>
      <c r="L170" s="8">
        <f>IF(IF(I170="CERT_C",VLOOKUP(J170,'CERT C'!$A$2:$E$94,5,FALSE),IF(I170="DEFECT",VLOOKUP(J170,Defect!$B$2:$D$97,3,FALSE),IF(I170="SPARROW",VLOOKUP(J170,#REF!,3,FALSE),"")))="Unreviewed", 1, 0)</f>
        <v>0</v>
      </c>
    </row>
    <row r="171" spans="1:12">
      <c r="A171" s="30"/>
      <c r="B171" s="30"/>
      <c r="C171" s="25" t="s">
        <v>361</v>
      </c>
      <c r="D171" s="25" t="s">
        <v>360</v>
      </c>
      <c r="E171" s="25" t="s">
        <v>297</v>
      </c>
      <c r="F171" s="25" t="str">
        <f>IF(G171="","",IF(G171&lt;=0,"P","F"))</f>
        <v>P</v>
      </c>
      <c r="G171" s="27">
        <f>SUMIF(H171:H179,"&lt;&gt;#N/A")</f>
        <v>0</v>
      </c>
      <c r="H171" s="9">
        <f>IF(I171="CERT_C",VLOOKUP(J171,'CERT C'!$A$2:$D$94,4,FALSE),IF(I171="DEFECT",VLOOKUP(J171,Defect!$B$2:$C$97,2,FALSE),IF(I171="SPARROW",VLOOKUP(J171,#REF!,2,FALSE),"")))</f>
        <v>0</v>
      </c>
      <c r="I171" s="9" t="s">
        <v>289</v>
      </c>
      <c r="J171" s="14" t="s">
        <v>346</v>
      </c>
      <c r="K171" s="25">
        <f>IF(SUM(L171:L179) &gt; 0, 1, 0)</f>
        <v>0</v>
      </c>
      <c r="L171" s="8">
        <f>IF(IF(I171="CERT_C",VLOOKUP(J171,'CERT C'!$A$2:$E$94,5,FALSE),IF(I171="DEFECT",VLOOKUP(J171,Defect!$B$2:$D$97,3,FALSE),IF(I171="SPARROW",VLOOKUP(J171,#REF!,3,FALSE),"")))="Unreviewed", 1, 0)</f>
        <v>0</v>
      </c>
    </row>
    <row r="172" spans="1:12">
      <c r="A172" s="30"/>
      <c r="B172" s="30"/>
      <c r="C172" s="30"/>
      <c r="D172" s="30"/>
      <c r="E172" s="30"/>
      <c r="F172" s="30"/>
      <c r="G172" s="29"/>
      <c r="H172" s="9">
        <f>IF(I172="CERT_C",VLOOKUP(J172,'CERT C'!$A$2:$D$94,4,FALSE),IF(I172="DEFECT",VLOOKUP(J172,Defect!$B$2:$C$97,2,FALSE),IF(I172="SPARROW",VLOOKUP(J172,#REF!,2,FALSE),"")))</f>
        <v>0</v>
      </c>
      <c r="I172" s="9" t="s">
        <v>289</v>
      </c>
      <c r="J172" s="14" t="s">
        <v>359</v>
      </c>
      <c r="K172" s="30"/>
      <c r="L172" s="8">
        <f>IF(IF(I172="CERT_C",VLOOKUP(J172,'CERT C'!$A$2:$E$94,5,FALSE),IF(I172="DEFECT",VLOOKUP(J172,Defect!$B$2:$D$97,3,FALSE),IF(I172="SPARROW",VLOOKUP(J172,#REF!,3,FALSE),"")))="Unreviewed", 1, 0)</f>
        <v>0</v>
      </c>
    </row>
    <row r="173" spans="1:12">
      <c r="A173" s="30"/>
      <c r="B173" s="30"/>
      <c r="C173" s="30"/>
      <c r="D173" s="30"/>
      <c r="E173" s="30"/>
      <c r="F173" s="30"/>
      <c r="G173" s="29"/>
      <c r="H173" s="9">
        <f>IF(I173="CERT_C",VLOOKUP(J173,'CERT C'!$A$2:$D$94,4,FALSE),IF(I173="DEFECT",VLOOKUP(J173,Defect!$B$2:$C$97,2,FALSE),IF(I173="SPARROW",VLOOKUP(J173,#REF!,2,FALSE),"")))</f>
        <v>0</v>
      </c>
      <c r="I173" s="9" t="s">
        <v>289</v>
      </c>
      <c r="J173" s="14" t="s">
        <v>358</v>
      </c>
      <c r="K173" s="30"/>
      <c r="L173" s="8">
        <f>IF(IF(I173="CERT_C",VLOOKUP(J173,'CERT C'!$A$2:$E$94,5,FALSE),IF(I173="DEFECT",VLOOKUP(J173,Defect!$B$2:$D$97,3,FALSE),IF(I173="SPARROW",VLOOKUP(J173,#REF!,3,FALSE),"")))="Unreviewed", 1, 0)</f>
        <v>0</v>
      </c>
    </row>
    <row r="174" spans="1:12">
      <c r="A174" s="30"/>
      <c r="B174" s="30"/>
      <c r="C174" s="30"/>
      <c r="D174" s="30"/>
      <c r="E174" s="30"/>
      <c r="F174" s="30"/>
      <c r="G174" s="29"/>
      <c r="H174" s="9">
        <f>IF(I174="CERT_C",VLOOKUP(J174,'CERT C'!$A$2:$D$94,4,FALSE),IF(I174="DEFECT",VLOOKUP(J174,Defect!$B$2:$C$97,2,FALSE),IF(I174="SPARROW",VLOOKUP(J174,#REF!,2,FALSE),"")))</f>
        <v>0</v>
      </c>
      <c r="I174" s="9" t="s">
        <v>289</v>
      </c>
      <c r="J174" s="14" t="s">
        <v>344</v>
      </c>
      <c r="K174" s="30"/>
      <c r="L174" s="8">
        <f>IF(IF(I174="CERT_C",VLOOKUP(J174,'CERT C'!$A$2:$E$94,5,FALSE),IF(I174="DEFECT",VLOOKUP(J174,Defect!$B$2:$D$97,3,FALSE),IF(I174="SPARROW",VLOOKUP(J174,#REF!,3,FALSE),"")))="Unreviewed", 1, 0)</f>
        <v>0</v>
      </c>
    </row>
    <row r="175" spans="1:12">
      <c r="A175" s="30"/>
      <c r="B175" s="30"/>
      <c r="C175" s="30"/>
      <c r="D175" s="30"/>
      <c r="E175" s="30"/>
      <c r="F175" s="30"/>
      <c r="G175" s="29"/>
      <c r="H175" s="9">
        <f>IF(I175="CERT_C",VLOOKUP(J175,'CERT C'!$A$2:$D$94,4,FALSE),IF(I175="DEFECT",VLOOKUP(J175,Defect!$B$2:$C$97,2,FALSE),IF(I175="SPARROW",VLOOKUP(J175,#REF!,2,FALSE),"")))</f>
        <v>0</v>
      </c>
      <c r="I175" s="9" t="s">
        <v>289</v>
      </c>
      <c r="J175" s="14" t="s">
        <v>357</v>
      </c>
      <c r="K175" s="30"/>
      <c r="L175" s="8">
        <f>IF(IF(I175="CERT_C",VLOOKUP(J175,'CERT C'!$A$2:$E$94,5,FALSE),IF(I175="DEFECT",VLOOKUP(J175,Defect!$B$2:$D$97,3,FALSE),IF(I175="SPARROW",VLOOKUP(J175,#REF!,3,FALSE),"")))="Unreviewed", 1, 0)</f>
        <v>0</v>
      </c>
    </row>
    <row r="176" spans="1:12">
      <c r="A176" s="30"/>
      <c r="B176" s="30"/>
      <c r="C176" s="30"/>
      <c r="D176" s="30"/>
      <c r="E176" s="30"/>
      <c r="F176" s="30"/>
      <c r="G176" s="29"/>
      <c r="H176" s="9">
        <f>IF(I176="CERT_C",VLOOKUP(J176,'CERT C'!$A$2:$D$94,4,FALSE),IF(I176="DEFECT",VLOOKUP(J176,Defect!$B$2:$C$97,2,FALSE),IF(I176="SPARROW",VLOOKUP(J176,#REF!,2,FALSE),"")))</f>
        <v>0</v>
      </c>
      <c r="I176" s="9" t="s">
        <v>289</v>
      </c>
      <c r="J176" s="14" t="s">
        <v>356</v>
      </c>
      <c r="K176" s="30"/>
      <c r="L176" s="8">
        <f>IF(IF(I176="CERT_C",VLOOKUP(J176,'CERT C'!$A$2:$E$94,5,FALSE),IF(I176="DEFECT",VLOOKUP(J176,Defect!$B$2:$D$97,3,FALSE),IF(I176="SPARROW",VLOOKUP(J176,#REF!,3,FALSE),"")))="Unreviewed", 1, 0)</f>
        <v>0</v>
      </c>
    </row>
    <row r="177" spans="1:12">
      <c r="A177" s="30"/>
      <c r="B177" s="30"/>
      <c r="C177" s="30"/>
      <c r="D177" s="30"/>
      <c r="E177" s="30"/>
      <c r="F177" s="30"/>
      <c r="G177" s="29"/>
      <c r="H177" s="9">
        <f>IF(I177="CERT_C",VLOOKUP(J177,'CERT C'!$A$2:$D$94,4,FALSE),IF(I177="DEFECT",VLOOKUP(J177,Defect!$B$2:$C$97,2,FALSE),IF(I177="SPARROW",VLOOKUP(J177,#REF!,2,FALSE),"")))</f>
        <v>0</v>
      </c>
      <c r="I177" s="9" t="s">
        <v>289</v>
      </c>
      <c r="J177" s="14" t="s">
        <v>343</v>
      </c>
      <c r="K177" s="30"/>
      <c r="L177" s="8">
        <f>IF(IF(I177="CERT_C",VLOOKUP(J177,'CERT C'!$A$2:$E$94,5,FALSE),IF(I177="DEFECT",VLOOKUP(J177,Defect!$B$2:$D$97,3,FALSE),IF(I177="SPARROW",VLOOKUP(J177,#REF!,3,FALSE),"")))="Unreviewed", 1, 0)</f>
        <v>0</v>
      </c>
    </row>
    <row r="178" spans="1:12">
      <c r="A178" s="30"/>
      <c r="B178" s="30"/>
      <c r="C178" s="30"/>
      <c r="D178" s="30"/>
      <c r="E178" s="30"/>
      <c r="F178" s="30"/>
      <c r="G178" s="29"/>
      <c r="H178" s="9">
        <f>IF(I178="CERT_C",VLOOKUP(J178,'CERT C'!$A$2:$D$94,4,FALSE),IF(I178="DEFECT",VLOOKUP(J178,Defect!$B$2:$C$97,2,FALSE),IF(I178="SPARROW",VLOOKUP(J178,#REF!,2,FALSE),"")))</f>
        <v>0</v>
      </c>
      <c r="I178" s="9" t="s">
        <v>289</v>
      </c>
      <c r="J178" s="14" t="s">
        <v>341</v>
      </c>
      <c r="K178" s="30"/>
      <c r="L178" s="8">
        <f>IF(IF(I178="CERT_C",VLOOKUP(J178,'CERT C'!$A$2:$E$94,5,FALSE),IF(I178="DEFECT",VLOOKUP(J178,Defect!$B$2:$D$97,3,FALSE),IF(I178="SPARROW",VLOOKUP(J178,#REF!,3,FALSE),"")))="Unreviewed", 1, 0)</f>
        <v>0</v>
      </c>
    </row>
    <row r="179" spans="1:12">
      <c r="A179" s="30"/>
      <c r="B179" s="30"/>
      <c r="C179" s="26"/>
      <c r="D179" s="26"/>
      <c r="E179" s="26"/>
      <c r="F179" s="26"/>
      <c r="G179" s="28"/>
      <c r="H179" s="9">
        <f>IF(I179="CERT_C",VLOOKUP(J179,'CERT C'!$A$2:$D$94,4,FALSE),IF(I179="DEFECT",VLOOKUP(J179,Defect!$B$2:$C$97,2,FALSE),IF(I179="SPARROW",VLOOKUP(J179,#REF!,2,FALSE),"")))</f>
        <v>0</v>
      </c>
      <c r="I179" s="9" t="s">
        <v>289</v>
      </c>
      <c r="J179" s="14" t="s">
        <v>345</v>
      </c>
      <c r="K179" s="26"/>
      <c r="L179" s="8">
        <f>IF(IF(I179="CERT_C",VLOOKUP(J179,'CERT C'!$A$2:$E$94,5,FALSE),IF(I179="DEFECT",VLOOKUP(J179,Defect!$B$2:$D$97,3,FALSE),IF(I179="SPARROW",VLOOKUP(J179,#REF!,3,FALSE),"")))="Unreviewed", 1, 0)</f>
        <v>0</v>
      </c>
    </row>
    <row r="180" spans="1:12">
      <c r="A180" s="30"/>
      <c r="B180" s="30"/>
      <c r="C180" s="25" t="s">
        <v>355</v>
      </c>
      <c r="D180" s="25" t="s">
        <v>354</v>
      </c>
      <c r="E180" s="25" t="s">
        <v>297</v>
      </c>
      <c r="F180" s="25" t="str">
        <f>IF(G180="","",IF(G180&lt;=0,"P","F"))</f>
        <v>P</v>
      </c>
      <c r="G180" s="27">
        <f>SUMIF(H180:H181,"&lt;&gt;#N/A")</f>
        <v>0</v>
      </c>
      <c r="H180" s="9">
        <f>IF(I180="CERT_C",VLOOKUP(J180,'CERT C'!$A$2:$D$94,4,FALSE),IF(I180="DEFECT",VLOOKUP(J180,Defect!$B$2:$C$97,2,FALSE),IF(I180="SPARROW",VLOOKUP(J180,#REF!,2,FALSE),"")))</f>
        <v>0</v>
      </c>
      <c r="I180" s="9" t="s">
        <v>289</v>
      </c>
      <c r="J180" s="14" t="s">
        <v>353</v>
      </c>
      <c r="K180" s="25">
        <f>IF(SUM(L180:L181) &gt; 0, 1, 0)</f>
        <v>0</v>
      </c>
      <c r="L180" s="8">
        <f>IF(IF(I180="CERT_C",VLOOKUP(J180,'CERT C'!$A$2:$E$94,5,FALSE),IF(I180="DEFECT",VLOOKUP(J180,Defect!$B$2:$D$97,3,FALSE),IF(I180="SPARROW",VLOOKUP(J180,#REF!,3,FALSE),"")))="Unreviewed", 1, 0)</f>
        <v>0</v>
      </c>
    </row>
    <row r="181" spans="1:12">
      <c r="A181" s="30"/>
      <c r="B181" s="30"/>
      <c r="C181" s="26"/>
      <c r="D181" s="26"/>
      <c r="E181" s="26"/>
      <c r="F181" s="26"/>
      <c r="G181" s="28"/>
      <c r="H181" s="9">
        <f>IF(I181="CERT_C",VLOOKUP(J181,'CERT C'!$A$2:$D$94,4,FALSE),IF(I181="DEFECT",VLOOKUP(J181,Defect!$B$2:$C$97,2,FALSE),IF(I181="SPARROW",VLOOKUP(J181,#REF!,2,FALSE),"")))</f>
        <v>0</v>
      </c>
      <c r="I181" s="9" t="s">
        <v>289</v>
      </c>
      <c r="J181" s="14" t="s">
        <v>352</v>
      </c>
      <c r="K181" s="26"/>
      <c r="L181" s="8">
        <f>IF(IF(I181="CERT_C",VLOOKUP(J181,'CERT C'!$A$2:$E$94,5,FALSE),IF(I181="DEFECT",VLOOKUP(J181,Defect!$B$2:$D$97,3,FALSE),IF(I181="SPARROW",VLOOKUP(J181,#REF!,3,FALSE),"")))="Unreviewed", 1, 0)</f>
        <v>0</v>
      </c>
    </row>
    <row r="182" spans="1:12">
      <c r="A182" s="30"/>
      <c r="B182" s="30"/>
      <c r="C182" s="25" t="s">
        <v>351</v>
      </c>
      <c r="D182" s="25" t="s">
        <v>350</v>
      </c>
      <c r="E182" s="25" t="s">
        <v>297</v>
      </c>
      <c r="F182" s="25" t="str">
        <f>IF(G182="","",IF(G182&lt;=0,"P","F"))</f>
        <v>P</v>
      </c>
      <c r="G182" s="27">
        <f>SUMIF(H182:H183,"&lt;&gt;#N/A")</f>
        <v>0</v>
      </c>
      <c r="H182" s="9">
        <f>IF(I182="CERT_C",VLOOKUP(J182,'CERT C'!$A$2:$D$94,4,FALSE),IF(I182="DEFECT",VLOOKUP(J182,Defect!$B$2:$C$97,2,FALSE),IF(I182="SPARROW",VLOOKUP(J182,#REF!,2,FALSE),"")))</f>
        <v>0</v>
      </c>
      <c r="I182" s="9" t="s">
        <v>289</v>
      </c>
      <c r="J182" s="14" t="s">
        <v>341</v>
      </c>
      <c r="K182" s="25">
        <f>IF(SUM(L182:L183) &gt; 0, 1, 0)</f>
        <v>0</v>
      </c>
      <c r="L182" s="8">
        <f>IF(IF(I182="CERT_C",VLOOKUP(J182,'CERT C'!$A$2:$E$94,5,FALSE),IF(I182="DEFECT",VLOOKUP(J182,Defect!$B$2:$D$97,3,FALSE),IF(I182="SPARROW",VLOOKUP(J182,#REF!,3,FALSE),"")))="Unreviewed", 1, 0)</f>
        <v>0</v>
      </c>
    </row>
    <row r="183" spans="1:12">
      <c r="A183" s="30"/>
      <c r="B183" s="30"/>
      <c r="C183" s="26"/>
      <c r="D183" s="26"/>
      <c r="E183" s="26"/>
      <c r="F183" s="26"/>
      <c r="G183" s="28"/>
      <c r="H183" s="9">
        <f>IF(I183="CERT_C",VLOOKUP(J183,'CERT C'!$A$2:$D$94,4,FALSE),IF(I183="DEFECT",VLOOKUP(J183,Defect!$B$2:$C$97,2,FALSE),IF(I183="SPARROW",VLOOKUP(J183,#REF!,2,FALSE),"")))</f>
        <v>0</v>
      </c>
      <c r="I183" s="9" t="s">
        <v>289</v>
      </c>
      <c r="J183" s="14" t="s">
        <v>349</v>
      </c>
      <c r="K183" s="26"/>
      <c r="L183" s="8">
        <f>IF(IF(I183="CERT_C",VLOOKUP(J183,'CERT C'!$A$2:$E$94,5,FALSE),IF(I183="DEFECT",VLOOKUP(J183,Defect!$B$2:$D$97,3,FALSE),IF(I183="SPARROW",VLOOKUP(J183,#REF!,3,FALSE),"")))="Unreviewed", 1, 0)</f>
        <v>0</v>
      </c>
    </row>
    <row r="184" spans="1:12">
      <c r="A184" s="30"/>
      <c r="B184" s="30"/>
      <c r="C184" s="25" t="s">
        <v>348</v>
      </c>
      <c r="D184" s="25" t="s">
        <v>347</v>
      </c>
      <c r="E184" s="25" t="s">
        <v>297</v>
      </c>
      <c r="F184" s="25" t="str">
        <f>IF(G184="","",IF(G184&lt;=0,"P","F"))</f>
        <v>P</v>
      </c>
      <c r="G184" s="27">
        <f>SUMIF(H184:H189,"&lt;&gt;#N/A")</f>
        <v>0</v>
      </c>
      <c r="H184" s="9">
        <f>IF(I184="CERT_C",VLOOKUP(J184,'CERT C'!$A$2:$D$94,4,FALSE),IF(I184="DEFECT",VLOOKUP(J184,Defect!$B$2:$C$97,2,FALSE),IF(I184="SPARROW",VLOOKUP(J184,#REF!,2,FALSE),"")))</f>
        <v>0</v>
      </c>
      <c r="I184" s="9" t="s">
        <v>289</v>
      </c>
      <c r="J184" s="14" t="s">
        <v>346</v>
      </c>
      <c r="K184" s="25">
        <f>IF(SUM(L184:L189) &gt; 0, 1, 0)</f>
        <v>0</v>
      </c>
      <c r="L184" s="8">
        <f>IF(IF(I184="CERT_C",VLOOKUP(J184,'CERT C'!$A$2:$E$94,5,FALSE),IF(I184="DEFECT",VLOOKUP(J184,Defect!$B$2:$D$97,3,FALSE),IF(I184="SPARROW",VLOOKUP(J184,#REF!,3,FALSE),"")))="Unreviewed", 1, 0)</f>
        <v>0</v>
      </c>
    </row>
    <row r="185" spans="1:12">
      <c r="A185" s="30"/>
      <c r="B185" s="30"/>
      <c r="C185" s="30"/>
      <c r="D185" s="30"/>
      <c r="E185" s="30"/>
      <c r="F185" s="30"/>
      <c r="G185" s="29"/>
      <c r="H185" s="9">
        <f>IF(I185="CERT_C",VLOOKUP(J185,'CERT C'!$A$2:$D$94,4,FALSE),IF(I185="DEFECT",VLOOKUP(J185,Defect!$B$2:$C$97,2,FALSE),IF(I185="SPARROW",VLOOKUP(J185,#REF!,2,FALSE),"")))</f>
        <v>0</v>
      </c>
      <c r="I185" s="9" t="s">
        <v>289</v>
      </c>
      <c r="J185" s="14" t="s">
        <v>345</v>
      </c>
      <c r="K185" s="30"/>
      <c r="L185" s="8">
        <f>IF(IF(I185="CERT_C",VLOOKUP(J185,'CERT C'!$A$2:$E$94,5,FALSE),IF(I185="DEFECT",VLOOKUP(J185,Defect!$B$2:$D$97,3,FALSE),IF(I185="SPARROW",VLOOKUP(J185,#REF!,3,FALSE),"")))="Unreviewed", 1, 0)</f>
        <v>0</v>
      </c>
    </row>
    <row r="186" spans="1:12">
      <c r="A186" s="30"/>
      <c r="B186" s="30"/>
      <c r="C186" s="30"/>
      <c r="D186" s="30"/>
      <c r="E186" s="30"/>
      <c r="F186" s="30"/>
      <c r="G186" s="29"/>
      <c r="H186" s="9">
        <f>IF(I186="CERT_C",VLOOKUP(J186,'CERT C'!$A$2:$D$94,4,FALSE),IF(I186="DEFECT",VLOOKUP(J186,Defect!$B$2:$C$97,2,FALSE),IF(I186="SPARROW",VLOOKUP(J186,#REF!,2,FALSE),"")))</f>
        <v>0</v>
      </c>
      <c r="I186" s="9" t="s">
        <v>289</v>
      </c>
      <c r="J186" s="14" t="s">
        <v>344</v>
      </c>
      <c r="K186" s="30"/>
      <c r="L186" s="8">
        <f>IF(IF(I186="CERT_C",VLOOKUP(J186,'CERT C'!$A$2:$E$94,5,FALSE),IF(I186="DEFECT",VLOOKUP(J186,Defect!$B$2:$D$97,3,FALSE),IF(I186="SPARROW",VLOOKUP(J186,#REF!,3,FALSE),"")))="Unreviewed", 1, 0)</f>
        <v>0</v>
      </c>
    </row>
    <row r="187" spans="1:12">
      <c r="A187" s="30"/>
      <c r="B187" s="30"/>
      <c r="C187" s="30"/>
      <c r="D187" s="30"/>
      <c r="E187" s="30"/>
      <c r="F187" s="30"/>
      <c r="G187" s="29"/>
      <c r="H187" s="9">
        <f>IF(I187="CERT_C",VLOOKUP(J187,'CERT C'!$A$2:$D$94,4,FALSE),IF(I187="DEFECT",VLOOKUP(J187,Defect!$B$2:$C$97,2,FALSE),IF(I187="SPARROW",VLOOKUP(J187,#REF!,2,FALSE),"")))</f>
        <v>0</v>
      </c>
      <c r="I187" s="9" t="s">
        <v>289</v>
      </c>
      <c r="J187" s="14" t="s">
        <v>343</v>
      </c>
      <c r="K187" s="30"/>
      <c r="L187" s="8">
        <f>IF(IF(I187="CERT_C",VLOOKUP(J187,'CERT C'!$A$2:$E$94,5,FALSE),IF(I187="DEFECT",VLOOKUP(J187,Defect!$B$2:$D$97,3,FALSE),IF(I187="SPARROW",VLOOKUP(J187,#REF!,3,FALSE),"")))="Unreviewed", 1, 0)</f>
        <v>0</v>
      </c>
    </row>
    <row r="188" spans="1:12">
      <c r="A188" s="30"/>
      <c r="B188" s="30"/>
      <c r="C188" s="30"/>
      <c r="D188" s="30"/>
      <c r="E188" s="30"/>
      <c r="F188" s="30"/>
      <c r="G188" s="29"/>
      <c r="H188" s="9">
        <f>IF(I188="CERT_C",VLOOKUP(J188,'CERT C'!$A$2:$D$94,4,FALSE),IF(I188="DEFECT",VLOOKUP(J188,Defect!$B$2:$C$97,2,FALSE),IF(I188="SPARROW",VLOOKUP(J188,#REF!,2,FALSE),"")))</f>
        <v>0</v>
      </c>
      <c r="I188" s="9" t="s">
        <v>289</v>
      </c>
      <c r="J188" s="14" t="s">
        <v>342</v>
      </c>
      <c r="K188" s="30"/>
      <c r="L188" s="8">
        <f>IF(IF(I188="CERT_C",VLOOKUP(J188,'CERT C'!$A$2:$E$94,5,FALSE),IF(I188="DEFECT",VLOOKUP(J188,Defect!$B$2:$D$97,3,FALSE),IF(I188="SPARROW",VLOOKUP(J188,#REF!,3,FALSE),"")))="Unreviewed", 1, 0)</f>
        <v>0</v>
      </c>
    </row>
    <row r="189" spans="1:12">
      <c r="A189" s="30"/>
      <c r="B189" s="30"/>
      <c r="C189" s="26"/>
      <c r="D189" s="26"/>
      <c r="E189" s="26"/>
      <c r="F189" s="26"/>
      <c r="G189" s="28"/>
      <c r="H189" s="9">
        <f>IF(I189="CERT_C",VLOOKUP(J189,'CERT C'!$A$2:$D$94,4,FALSE),IF(I189="DEFECT",VLOOKUP(J189,Defect!$B$2:$C$97,2,FALSE),IF(I189="SPARROW",VLOOKUP(J189,#REF!,2,FALSE),"")))</f>
        <v>0</v>
      </c>
      <c r="I189" s="9" t="s">
        <v>289</v>
      </c>
      <c r="J189" s="14" t="s">
        <v>341</v>
      </c>
      <c r="K189" s="26"/>
      <c r="L189" s="8">
        <f>IF(IF(I189="CERT_C",VLOOKUP(J189,'CERT C'!$A$2:$E$94,5,FALSE),IF(I189="DEFECT",VLOOKUP(J189,Defect!$B$2:$D$97,3,FALSE),IF(I189="SPARROW",VLOOKUP(J189,#REF!,3,FALSE),"")))="Unreviewed", 1, 0)</f>
        <v>0</v>
      </c>
    </row>
    <row r="190" spans="1:12">
      <c r="A190" s="30"/>
      <c r="B190" s="30"/>
      <c r="C190" s="25" t="s">
        <v>340</v>
      </c>
      <c r="D190" s="25" t="s">
        <v>339</v>
      </c>
      <c r="E190" s="25" t="s">
        <v>297</v>
      </c>
      <c r="F190" s="25" t="str">
        <f>IF(G190="","",IF(G190&lt;=0,"P","F"))</f>
        <v>P</v>
      </c>
      <c r="G190" s="27">
        <f>SUMIF(H190:H193,"&lt;&gt;#N/A")</f>
        <v>0</v>
      </c>
      <c r="H190" s="9">
        <f>IF(I190="CERT_C",VLOOKUP(J190,'CERT C'!$A$2:$D$94,4,FALSE),IF(I190="DEFECT",VLOOKUP(J190,Defect!$B$2:$C$97,2,FALSE),IF(I190="SPARROW",VLOOKUP(J190,#REF!,2,FALSE),"")))</f>
        <v>0</v>
      </c>
      <c r="I190" s="9" t="s">
        <v>289</v>
      </c>
      <c r="J190" s="14" t="s">
        <v>338</v>
      </c>
      <c r="K190" s="25">
        <f>IF(SUM(L190:L193) &gt; 0, 1, 0)</f>
        <v>0</v>
      </c>
      <c r="L190" s="8">
        <f>IF(IF(I190="CERT_C",VLOOKUP(J190,'CERT C'!$A$2:$E$94,5,FALSE),IF(I190="DEFECT",VLOOKUP(J190,Defect!$B$2:$D$97,3,FALSE),IF(I190="SPARROW",VLOOKUP(J190,#REF!,3,FALSE),"")))="Unreviewed", 1, 0)</f>
        <v>0</v>
      </c>
    </row>
    <row r="191" spans="1:12">
      <c r="A191" s="30"/>
      <c r="B191" s="30"/>
      <c r="C191" s="30"/>
      <c r="D191" s="30"/>
      <c r="E191" s="30"/>
      <c r="F191" s="30"/>
      <c r="G191" s="29"/>
      <c r="H191" s="9">
        <f>IF(I191="CERT_C",VLOOKUP(J191,'CERT C'!$A$2:$D$94,4,FALSE),IF(I191="DEFECT",VLOOKUP(J191,Defect!$B$2:$C$97,2,FALSE),IF(I191="SPARROW",VLOOKUP(J191,#REF!,2,FALSE),"")))</f>
        <v>0</v>
      </c>
      <c r="I191" s="9" t="s">
        <v>289</v>
      </c>
      <c r="J191" s="14" t="s">
        <v>337</v>
      </c>
      <c r="K191" s="30"/>
      <c r="L191" s="8">
        <f>IF(IF(I191="CERT_C",VLOOKUP(J191,'CERT C'!$A$2:$E$94,5,FALSE),IF(I191="DEFECT",VLOOKUP(J191,Defect!$B$2:$D$97,3,FALSE),IF(I191="SPARROW",VLOOKUP(J191,#REF!,3,FALSE),"")))="Unreviewed", 1, 0)</f>
        <v>0</v>
      </c>
    </row>
    <row r="192" spans="1:12">
      <c r="A192" s="30"/>
      <c r="B192" s="30"/>
      <c r="C192" s="30"/>
      <c r="D192" s="30"/>
      <c r="E192" s="30"/>
      <c r="F192" s="30"/>
      <c r="G192" s="29"/>
      <c r="H192" s="9">
        <f>IF(I192="CERT_C",VLOOKUP(J192,'CERT C'!$A$2:$D$94,4,FALSE),IF(I192="DEFECT",VLOOKUP(J192,Defect!$B$2:$C$97,2,FALSE),IF(I192="SPARROW",VLOOKUP(J192,#REF!,2,FALSE),"")))</f>
        <v>0</v>
      </c>
      <c r="I192" s="9" t="s">
        <v>289</v>
      </c>
      <c r="J192" s="14" t="s">
        <v>336</v>
      </c>
      <c r="K192" s="30"/>
      <c r="L192" s="8">
        <f>IF(IF(I192="CERT_C",VLOOKUP(J192,'CERT C'!$A$2:$E$94,5,FALSE),IF(I192="DEFECT",VLOOKUP(J192,Defect!$B$2:$D$97,3,FALSE),IF(I192="SPARROW",VLOOKUP(J192,#REF!,3,FALSE),"")))="Unreviewed", 1, 0)</f>
        <v>0</v>
      </c>
    </row>
    <row r="193" spans="1:12">
      <c r="A193" s="26"/>
      <c r="B193" s="26"/>
      <c r="C193" s="26"/>
      <c r="D193" s="26"/>
      <c r="E193" s="26"/>
      <c r="F193" s="26"/>
      <c r="G193" s="28"/>
      <c r="H193" s="9">
        <f>IF(I193="CERT_C",VLOOKUP(J193,'CERT C'!$A$2:$D$94,4,FALSE),IF(I193="DEFECT",VLOOKUP(J193,Defect!$B$2:$C$97,2,FALSE),IF(I193="SPARROW",VLOOKUP(J193,#REF!,2,FALSE),"")))</f>
        <v>0</v>
      </c>
      <c r="I193" s="9" t="s">
        <v>289</v>
      </c>
      <c r="J193" s="14" t="s">
        <v>335</v>
      </c>
      <c r="K193" s="26"/>
      <c r="L193" s="8">
        <f>IF(IF(I193="CERT_C",VLOOKUP(J193,'CERT C'!$A$2:$E$94,5,FALSE),IF(I193="DEFECT",VLOOKUP(J193,Defect!$B$2:$D$97,3,FALSE),IF(I193="SPARROW",VLOOKUP(J193,#REF!,3,FALSE),"")))="Unreviewed", 1, 0)</f>
        <v>0</v>
      </c>
    </row>
    <row r="194" spans="1:12">
      <c r="A194" s="31"/>
      <c r="B194" s="31" t="s">
        <v>334</v>
      </c>
      <c r="C194" s="8" t="s">
        <v>333</v>
      </c>
      <c r="D194" s="8" t="s">
        <v>332</v>
      </c>
      <c r="E194" s="8" t="s">
        <v>297</v>
      </c>
      <c r="F194" s="8" t="str">
        <f t="shared" ref="F194:F202" si="22">IF(G194="","",IF(G194&lt;=0,"P","F"))</f>
        <v>P</v>
      </c>
      <c r="G194" s="9">
        <f t="shared" ref="G194:G201" si="23">SUMIF(H194,"&lt;&gt;#N/A")</f>
        <v>0</v>
      </c>
      <c r="H194" s="9">
        <f>IF(I194="CERT_C",VLOOKUP(J194,'CERT C'!$A$2:$D$94,4,FALSE),IF(I194="DEFECT",VLOOKUP(J194,Defect!$B$2:$C$97,2,FALSE),IF(I194="SPARROW",VLOOKUP(J194,#REF!,2,FALSE),"")))</f>
        <v>0</v>
      </c>
      <c r="I194" s="9" t="s">
        <v>309</v>
      </c>
      <c r="J194" s="13" t="s">
        <v>331</v>
      </c>
      <c r="K194" s="8">
        <f>IF(SUM(L194) &gt; 0, 1, 0)</f>
        <v>0</v>
      </c>
      <c r="L194" s="8">
        <f>IF(IF(I194="CERT_C",VLOOKUP(J194,'CERT C'!$A$2:$E$94,5,FALSE),IF(I194="DEFECT",VLOOKUP(J194,Defect!$B$2:$D$97,3,FALSE),IF(I194="SPARROW",VLOOKUP(J194,#REF!,3,FALSE),"")))="Unreviewed", 1, 0)</f>
        <v>0</v>
      </c>
    </row>
    <row r="195" spans="1:12">
      <c r="A195" s="31"/>
      <c r="B195" s="31"/>
      <c r="C195" s="8" t="s">
        <v>330</v>
      </c>
      <c r="D195" s="8" t="s">
        <v>329</v>
      </c>
      <c r="E195" s="8" t="s">
        <v>316</v>
      </c>
      <c r="F195" s="8" t="str">
        <f t="shared" si="22"/>
        <v>P</v>
      </c>
      <c r="G195" s="9">
        <f t="shared" si="23"/>
        <v>0</v>
      </c>
      <c r="H195" s="9">
        <f>IF(I195="CERT_C",VLOOKUP(J195,'CERT C'!$A$2:$D$94,4,FALSE),IF(I195="DEFECT",VLOOKUP(J195,Defect!$B$2:$C$97,2,FALSE),IF(I195="SPARROW",VLOOKUP(J195,#REF!,2,FALSE),"")))</f>
        <v>0</v>
      </c>
      <c r="I195" s="9" t="s">
        <v>309</v>
      </c>
      <c r="J195" s="13" t="s">
        <v>328</v>
      </c>
      <c r="K195" s="8">
        <f t="shared" ref="K195:K201" si="24">IF(SUM(L195) &gt; 0, 1, 0)</f>
        <v>0</v>
      </c>
      <c r="L195" s="8">
        <f>IF(IF(I195="CERT_C",VLOOKUP(J195,'CERT C'!$A$2:$E$94,5,FALSE),IF(I195="DEFECT",VLOOKUP(J195,Defect!$B$2:$D$97,3,FALSE),IF(I195="SPARROW",VLOOKUP(J195,#REF!,3,FALSE),"")))="Unreviewed", 1, 0)</f>
        <v>0</v>
      </c>
    </row>
    <row r="196" spans="1:12">
      <c r="A196" s="31"/>
      <c r="B196" s="31"/>
      <c r="C196" s="8" t="s">
        <v>327</v>
      </c>
      <c r="D196" s="8" t="s">
        <v>326</v>
      </c>
      <c r="E196" s="8" t="s">
        <v>297</v>
      </c>
      <c r="F196" s="8" t="str">
        <f t="shared" si="22"/>
        <v>P</v>
      </c>
      <c r="G196" s="9">
        <f t="shared" si="23"/>
        <v>0</v>
      </c>
      <c r="H196" s="9">
        <f>IF(I196="CERT_C",VLOOKUP(J196,'CERT C'!$A$2:$D$94,4,FALSE),IF(I196="DEFECT",VLOOKUP(J196,Defect!$B$2:$C$97,2,FALSE),IF(I196="SPARROW",VLOOKUP(J196,#REF!,2,FALSE),"")))</f>
        <v>0</v>
      </c>
      <c r="I196" s="9" t="s">
        <v>309</v>
      </c>
      <c r="J196" s="13" t="s">
        <v>325</v>
      </c>
      <c r="K196" s="8">
        <f t="shared" si="24"/>
        <v>0</v>
      </c>
      <c r="L196" s="8">
        <f>IF(IF(I196="CERT_C",VLOOKUP(J196,'CERT C'!$A$2:$E$94,5,FALSE),IF(I196="DEFECT",VLOOKUP(J196,Defect!$B$2:$D$97,3,FALSE),IF(I196="SPARROW",VLOOKUP(J196,#REF!,3,FALSE),"")))="Unreviewed", 1, 0)</f>
        <v>0</v>
      </c>
    </row>
    <row r="197" spans="1:12">
      <c r="A197" s="31"/>
      <c r="B197" s="31"/>
      <c r="C197" s="8" t="s">
        <v>324</v>
      </c>
      <c r="D197" s="8" t="s">
        <v>323</v>
      </c>
      <c r="E197" s="8" t="s">
        <v>292</v>
      </c>
      <c r="F197" s="8" t="str">
        <f t="shared" si="22"/>
        <v>P</v>
      </c>
      <c r="G197" s="9">
        <f t="shared" si="23"/>
        <v>0</v>
      </c>
      <c r="H197" s="9">
        <f>IF(I197="CERT_C",VLOOKUP(J197,'CERT C'!$A$2:$D$94,4,FALSE),IF(I197="DEFECT",VLOOKUP(J197,Defect!$B$2:$C$97,2,FALSE),IF(I197="SPARROW",VLOOKUP(J197,#REF!,2,FALSE),"")))</f>
        <v>0</v>
      </c>
      <c r="I197" s="9" t="s">
        <v>309</v>
      </c>
      <c r="J197" s="14" t="s">
        <v>322</v>
      </c>
      <c r="K197" s="8">
        <f t="shared" si="24"/>
        <v>0</v>
      </c>
      <c r="L197" s="8">
        <f>IF(IF(I197="CERT_C",VLOOKUP(J197,'CERT C'!$A$2:$E$94,5,FALSE),IF(I197="DEFECT",VLOOKUP(J197,Defect!$B$2:$D$97,3,FALSE),IF(I197="SPARROW",VLOOKUP(J197,#REF!,3,FALSE),"")))="Unreviewed", 1, 0)</f>
        <v>0</v>
      </c>
    </row>
    <row r="198" spans="1:12">
      <c r="A198" s="31"/>
      <c r="B198" s="31"/>
      <c r="C198" s="8" t="s">
        <v>321</v>
      </c>
      <c r="D198" s="8" t="s">
        <v>320</v>
      </c>
      <c r="E198" s="8" t="s">
        <v>292</v>
      </c>
      <c r="F198" s="8" t="str">
        <f t="shared" si="22"/>
        <v>P</v>
      </c>
      <c r="G198" s="9">
        <f t="shared" si="23"/>
        <v>0</v>
      </c>
      <c r="H198" s="9">
        <f>IF(I198="CERT_C",VLOOKUP(J198,'CERT C'!$A$2:$D$94,4,FALSE),IF(I198="DEFECT",VLOOKUP(J198,Defect!$B$2:$C$97,2,FALSE),IF(I198="SPARROW",VLOOKUP(J198,#REF!,2,FALSE),"")))</f>
        <v>0</v>
      </c>
      <c r="I198" s="9" t="s">
        <v>309</v>
      </c>
      <c r="J198" s="14" t="s">
        <v>319</v>
      </c>
      <c r="K198" s="8">
        <f t="shared" si="24"/>
        <v>0</v>
      </c>
      <c r="L198" s="8">
        <f>IF(IF(I198="CERT_C",VLOOKUP(J198,'CERT C'!$A$2:$E$94,5,FALSE),IF(I198="DEFECT",VLOOKUP(J198,Defect!$B$2:$D$97,3,FALSE),IF(I198="SPARROW",VLOOKUP(J198,#REF!,3,FALSE),"")))="Unreviewed", 1, 0)</f>
        <v>0</v>
      </c>
    </row>
    <row r="199" spans="1:12">
      <c r="A199" s="31"/>
      <c r="B199" s="31"/>
      <c r="C199" s="8" t="s">
        <v>318</v>
      </c>
      <c r="D199" s="8" t="s">
        <v>317</v>
      </c>
      <c r="E199" s="8" t="s">
        <v>316</v>
      </c>
      <c r="F199" s="8" t="str">
        <f t="shared" si="22"/>
        <v>P</v>
      </c>
      <c r="G199" s="9">
        <f t="shared" si="23"/>
        <v>0</v>
      </c>
      <c r="H199" s="9">
        <f>IF(I199="CERT_C",VLOOKUP(J199,'CERT C'!$A$2:$D$94,4,FALSE),IF(I199="DEFECT",VLOOKUP(J199,Defect!$B$2:$C$97,2,FALSE),IF(I199="SPARROW",VLOOKUP(J199,#REF!,2,FALSE),"")))</f>
        <v>0</v>
      </c>
      <c r="I199" s="9" t="s">
        <v>309</v>
      </c>
      <c r="J199" s="14" t="s">
        <v>315</v>
      </c>
      <c r="K199" s="8">
        <f t="shared" si="24"/>
        <v>0</v>
      </c>
      <c r="L199" s="8">
        <f>IF(IF(I199="CERT_C",VLOOKUP(J199,'CERT C'!$A$2:$E$94,5,FALSE),IF(I199="DEFECT",VLOOKUP(J199,Defect!$B$2:$D$97,3,FALSE),IF(I199="SPARROW",VLOOKUP(J199,#REF!,3,FALSE),"")))="Unreviewed", 1, 0)</f>
        <v>0</v>
      </c>
    </row>
    <row r="200" spans="1:12">
      <c r="A200" s="31"/>
      <c r="B200" s="31"/>
      <c r="C200" s="8" t="s">
        <v>314</v>
      </c>
      <c r="D200" s="8" t="s">
        <v>313</v>
      </c>
      <c r="E200" s="8" t="s">
        <v>292</v>
      </c>
      <c r="F200" s="8" t="str">
        <f t="shared" si="22"/>
        <v>P</v>
      </c>
      <c r="G200" s="9">
        <f t="shared" si="23"/>
        <v>0</v>
      </c>
      <c r="H200" s="9">
        <f>IF(I200="CERT_C",VLOOKUP(J200,'CERT C'!$A$2:$D$94,4,FALSE),IF(I200="DEFECT",VLOOKUP(J200,Defect!$B$2:$C$97,2,FALSE),IF(I200="SPARROW",VLOOKUP(J200,#REF!,2,FALSE),"")))</f>
        <v>0</v>
      </c>
      <c r="I200" s="9" t="s">
        <v>309</v>
      </c>
      <c r="J200" s="14" t="s">
        <v>312</v>
      </c>
      <c r="K200" s="8">
        <f t="shared" si="24"/>
        <v>0</v>
      </c>
      <c r="L200" s="8">
        <f>IF(IF(I200="CERT_C",VLOOKUP(J200,'CERT C'!$A$2:$E$94,5,FALSE),IF(I200="DEFECT",VLOOKUP(J200,Defect!$B$2:$D$97,3,FALSE),IF(I200="SPARROW",VLOOKUP(J200,#REF!,3,FALSE),"")))="Unreviewed", 1, 0)</f>
        <v>0</v>
      </c>
    </row>
    <row r="201" spans="1:12">
      <c r="A201" s="31"/>
      <c r="B201" s="31"/>
      <c r="C201" s="8" t="s">
        <v>311</v>
      </c>
      <c r="D201" s="8" t="s">
        <v>310</v>
      </c>
      <c r="E201" s="8" t="s">
        <v>297</v>
      </c>
      <c r="F201" s="8" t="str">
        <f t="shared" si="22"/>
        <v>P</v>
      </c>
      <c r="G201" s="9">
        <f t="shared" si="23"/>
        <v>0</v>
      </c>
      <c r="H201" s="9">
        <f>IF(I201="CERT_C",VLOOKUP(J201,'CERT C'!$A$2:$D$94,4,FALSE),IF(I201="DEFECT",VLOOKUP(J201,Defect!$B$2:$C$97,2,FALSE),IF(I201="SPARROW",VLOOKUP(J201,#REF!,2,FALSE),"")))</f>
        <v>0</v>
      </c>
      <c r="I201" s="9" t="s">
        <v>309</v>
      </c>
      <c r="J201" s="14" t="s">
        <v>308</v>
      </c>
      <c r="K201" s="8">
        <f t="shared" si="24"/>
        <v>0</v>
      </c>
      <c r="L201" s="8">
        <f>IF(IF(I201="CERT_C",VLOOKUP(J201,'CERT C'!$A$2:$E$94,5,FALSE),IF(I201="DEFECT",VLOOKUP(J201,Defect!$B$2:$D$97,3,FALSE),IF(I201="SPARROW",VLOOKUP(J201,#REF!,3,FALSE),"")))="Unreviewed", 1, 0)</f>
        <v>0</v>
      </c>
    </row>
    <row r="202" spans="1:12">
      <c r="A202" s="31"/>
      <c r="B202" s="31"/>
      <c r="C202" s="25" t="s">
        <v>307</v>
      </c>
      <c r="D202" s="25" t="s">
        <v>306</v>
      </c>
      <c r="E202" s="25" t="s">
        <v>297</v>
      </c>
      <c r="F202" s="25" t="str">
        <f t="shared" si="22"/>
        <v>P</v>
      </c>
      <c r="G202" s="27">
        <f>SUMIF(H202:H208,"&lt;&gt;#N/A")</f>
        <v>0</v>
      </c>
      <c r="H202" s="9">
        <f>IF(I202="CERT_C",VLOOKUP(J202,'CERT C'!$A$2:$D$94,4,FALSE),IF(I202="DEFECT",VLOOKUP(J202,Defect!$B$2:$C$97,2,FALSE),IF(I202="SPARROW",VLOOKUP(J202,#REF!,2,FALSE),"")))</f>
        <v>0</v>
      </c>
      <c r="I202" s="9" t="s">
        <v>289</v>
      </c>
      <c r="J202" s="14" t="s">
        <v>305</v>
      </c>
      <c r="K202" s="25">
        <f>IF(SUM(L202:L208) &gt; 0, 1, 0)</f>
        <v>0</v>
      </c>
      <c r="L202" s="8">
        <f>IF(IF(I202="CERT_C",VLOOKUP(J202,'CERT C'!$A$2:$E$94,5,FALSE),IF(I202="DEFECT",VLOOKUP(J202,Defect!$B$2:$D$97,3,FALSE),IF(I202="SPARROW",VLOOKUP(J202,#REF!,3,FALSE),"")))="Unreviewed", 1, 0)</f>
        <v>0</v>
      </c>
    </row>
    <row r="203" spans="1:12">
      <c r="A203" s="31"/>
      <c r="B203" s="31"/>
      <c r="C203" s="30"/>
      <c r="D203" s="30"/>
      <c r="E203" s="30"/>
      <c r="F203" s="30"/>
      <c r="G203" s="29"/>
      <c r="H203" s="9">
        <f>IF(I203="CERT_C",VLOOKUP(J203,'CERT C'!$A$2:$D$94,4,FALSE),IF(I203="DEFECT",VLOOKUP(J203,Defect!$B$2:$C$97,2,FALSE),IF(I203="SPARROW",VLOOKUP(J203,#REF!,2,FALSE),"")))</f>
        <v>0</v>
      </c>
      <c r="I203" s="9" t="s">
        <v>289</v>
      </c>
      <c r="J203" s="14" t="s">
        <v>304</v>
      </c>
      <c r="K203" s="30"/>
      <c r="L203" s="8">
        <f>IF(IF(I203="CERT_C",VLOOKUP(J203,'CERT C'!$A$2:$E$94,5,FALSE),IF(I203="DEFECT",VLOOKUP(J203,Defect!$B$2:$D$97,3,FALSE),IF(I203="SPARROW",VLOOKUP(J203,#REF!,3,FALSE),"")))="Unreviewed", 1, 0)</f>
        <v>0</v>
      </c>
    </row>
    <row r="204" spans="1:12">
      <c r="A204" s="31"/>
      <c r="B204" s="31"/>
      <c r="C204" s="30"/>
      <c r="D204" s="30"/>
      <c r="E204" s="30"/>
      <c r="F204" s="30"/>
      <c r="G204" s="29"/>
      <c r="H204" s="9">
        <f>IF(I204="CERT_C",VLOOKUP(J204,'CERT C'!$A$2:$D$94,4,FALSE),IF(I204="DEFECT",VLOOKUP(J204,Defect!$B$2:$C$97,2,FALSE),IF(I204="SPARROW",VLOOKUP(J204,#REF!,2,FALSE),"")))</f>
        <v>0</v>
      </c>
      <c r="I204" s="9" t="s">
        <v>289</v>
      </c>
      <c r="J204" s="14" t="s">
        <v>303</v>
      </c>
      <c r="K204" s="30"/>
      <c r="L204" s="8">
        <f>IF(IF(I204="CERT_C",VLOOKUP(J204,'CERT C'!$A$2:$E$94,5,FALSE),IF(I204="DEFECT",VLOOKUP(J204,Defect!$B$2:$D$97,3,FALSE),IF(I204="SPARROW",VLOOKUP(J204,#REF!,3,FALSE),"")))="Unreviewed", 1, 0)</f>
        <v>0</v>
      </c>
    </row>
    <row r="205" spans="1:12">
      <c r="A205" s="31"/>
      <c r="B205" s="31"/>
      <c r="C205" s="30"/>
      <c r="D205" s="30"/>
      <c r="E205" s="30"/>
      <c r="F205" s="30"/>
      <c r="G205" s="29"/>
      <c r="H205" s="9">
        <f>IF(I205="CERT_C",VLOOKUP(J205,'CERT C'!$A$2:$D$94,4,FALSE),IF(I205="DEFECT",VLOOKUP(J205,Defect!$B$2:$C$97,2,FALSE),IF(I205="SPARROW",VLOOKUP(J205,#REF!,2,FALSE),"")))</f>
        <v>0</v>
      </c>
      <c r="I205" s="9" t="s">
        <v>289</v>
      </c>
      <c r="J205" s="14" t="s">
        <v>302</v>
      </c>
      <c r="K205" s="30"/>
      <c r="L205" s="8">
        <f>IF(IF(I205="CERT_C",VLOOKUP(J205,'CERT C'!$A$2:$E$94,5,FALSE),IF(I205="DEFECT",VLOOKUP(J205,Defect!$B$2:$D$97,3,FALSE),IF(I205="SPARROW",VLOOKUP(J205,#REF!,3,FALSE),"")))="Unreviewed", 1, 0)</f>
        <v>0</v>
      </c>
    </row>
    <row r="206" spans="1:12">
      <c r="A206" s="31"/>
      <c r="B206" s="31"/>
      <c r="C206" s="30"/>
      <c r="D206" s="30"/>
      <c r="E206" s="30"/>
      <c r="F206" s="30"/>
      <c r="G206" s="29"/>
      <c r="H206" s="9">
        <f>IF(I206="CERT_C",VLOOKUP(J206,'CERT C'!$A$2:$D$94,4,FALSE),IF(I206="DEFECT",VLOOKUP(J206,Defect!$B$2:$C$97,2,FALSE),IF(I206="SPARROW",VLOOKUP(J206,#REF!,2,FALSE),"")))</f>
        <v>0</v>
      </c>
      <c r="I206" s="9" t="s">
        <v>289</v>
      </c>
      <c r="J206" s="14" t="s">
        <v>301</v>
      </c>
      <c r="K206" s="30"/>
      <c r="L206" s="8">
        <f>IF(IF(I206="CERT_C",VLOOKUP(J206,'CERT C'!$A$2:$E$94,5,FALSE),IF(I206="DEFECT",VLOOKUP(J206,Defect!$B$2:$D$97,3,FALSE),IF(I206="SPARROW",VLOOKUP(J206,#REF!,3,FALSE),"")))="Unreviewed", 1, 0)</f>
        <v>0</v>
      </c>
    </row>
    <row r="207" spans="1:12">
      <c r="A207" s="31"/>
      <c r="B207" s="31"/>
      <c r="C207" s="30"/>
      <c r="D207" s="30"/>
      <c r="E207" s="30"/>
      <c r="F207" s="30"/>
      <c r="G207" s="29"/>
      <c r="H207" s="9">
        <f>IF(I207="CERT_C",VLOOKUP(J207,'CERT C'!$A$2:$D$94,4,FALSE),IF(I207="DEFECT",VLOOKUP(J207,Defect!$B$2:$C$97,2,FALSE),IF(I207="SPARROW",VLOOKUP(J207,#REF!,2,FALSE),"")))</f>
        <v>0</v>
      </c>
      <c r="I207" s="9" t="s">
        <v>289</v>
      </c>
      <c r="J207" s="14" t="s">
        <v>235</v>
      </c>
      <c r="K207" s="30"/>
      <c r="L207" s="8">
        <f>IF(IF(I207="CERT_C",VLOOKUP(J207,'CERT C'!$A$2:$E$94,5,FALSE),IF(I207="DEFECT",VLOOKUP(J207,Defect!$B$2:$D$97,3,FALSE),IF(I207="SPARROW",VLOOKUP(J207,#REF!,3,FALSE),"")))="Unreviewed", 1, 0)</f>
        <v>0</v>
      </c>
    </row>
    <row r="208" spans="1:12">
      <c r="A208" s="31"/>
      <c r="B208" s="31"/>
      <c r="C208" s="26"/>
      <c r="D208" s="26"/>
      <c r="E208" s="26"/>
      <c r="F208" s="26"/>
      <c r="G208" s="28"/>
      <c r="H208" s="9">
        <f>IF(I208="CERT_C",VLOOKUP(J208,'CERT C'!$A$2:$D$94,4,FALSE),IF(I208="DEFECT",VLOOKUP(J208,Defect!$B$2:$C$97,2,FALSE),IF(I208="SPARROW",VLOOKUP(J208,#REF!,2,FALSE),"")))</f>
        <v>0</v>
      </c>
      <c r="I208" s="9" t="s">
        <v>289</v>
      </c>
      <c r="J208" s="14" t="s">
        <v>300</v>
      </c>
      <c r="K208" s="26"/>
      <c r="L208" s="8">
        <f>IF(IF(I208="CERT_C",VLOOKUP(J208,'CERT C'!$A$2:$E$94,5,FALSE),IF(I208="DEFECT",VLOOKUP(J208,Defect!$B$2:$D$97,3,FALSE),IF(I208="SPARROW",VLOOKUP(J208,#REF!,3,FALSE),"")))="Unreviewed", 1, 0)</f>
        <v>0</v>
      </c>
    </row>
    <row r="209" spans="1:12" ht="33">
      <c r="A209" s="31"/>
      <c r="B209" s="31"/>
      <c r="C209" s="8" t="s">
        <v>299</v>
      </c>
      <c r="D209" s="8" t="s">
        <v>298</v>
      </c>
      <c r="E209" s="8" t="s">
        <v>297</v>
      </c>
      <c r="F209" s="8" t="str">
        <f>IF(G209="","",IF(G209&lt;=0,"P","F"))</f>
        <v>P</v>
      </c>
      <c r="G209" s="9">
        <f>SUMIF(H209,"&lt;&gt;#N/A")</f>
        <v>0</v>
      </c>
      <c r="H209" s="9">
        <f>IF(I209="CERT_C",VLOOKUP(J209,'CERT C'!$A$2:$D$94,4,FALSE),IF(I209="DEFECT",VLOOKUP(J209,Defect!$B$2:$C$97,2,FALSE),IF(I209="SPARROW",VLOOKUP(J209,#REF!,2,FALSE),"")))</f>
        <v>0</v>
      </c>
      <c r="I209" s="15" t="s">
        <v>289</v>
      </c>
      <c r="J209" s="14" t="s">
        <v>781</v>
      </c>
      <c r="K209" s="8">
        <f>IF(SUM(L209) &gt; 0, 1, 0)</f>
        <v>0</v>
      </c>
      <c r="L209" s="8">
        <f>IF(IF(I209="CERT_C",VLOOKUP(J209,'CERT C'!$A$2:$E$94,5,FALSE),IF(I209="DEFECT",VLOOKUP(J209,Defect!$B$2:$D$97,3,FALSE),IF(I209="SPARROW",VLOOKUP(J209,#REF!,3,FALSE),"")))="Unreviewed", 1, 0)</f>
        <v>0</v>
      </c>
    </row>
    <row r="210" spans="1:12">
      <c r="A210" s="31"/>
      <c r="B210" s="31"/>
      <c r="C210" s="25" t="s">
        <v>296</v>
      </c>
      <c r="D210" s="25" t="s">
        <v>295</v>
      </c>
      <c r="E210" s="25" t="s">
        <v>292</v>
      </c>
      <c r="F210" s="25" t="str">
        <f>IF(G210="","",IF(G210&lt;=0,"P","F"))</f>
        <v>P</v>
      </c>
      <c r="G210" s="27">
        <f>SUMIF(H210:H211,"&lt;&gt;#N/A")</f>
        <v>0</v>
      </c>
      <c r="H210" s="9">
        <f>IF(I210="CERT_C",VLOOKUP(J210,'CERT C'!$A$2:$D$94,4,FALSE),IF(I210="DEFECT",VLOOKUP(J210,Defect!$B$2:$C$97,2,FALSE),IF(I210="SPARROW",VLOOKUP(J210,#REF!,2,FALSE),"")))</f>
        <v>0</v>
      </c>
      <c r="I210" s="15" t="s">
        <v>289</v>
      </c>
      <c r="J210" s="13" t="s">
        <v>761</v>
      </c>
      <c r="K210" s="25">
        <f>IF(SUM(L210:L211) &gt; 0, 1, 0)</f>
        <v>0</v>
      </c>
      <c r="L210" s="8">
        <f>IF(IF(I210="CERT_C",VLOOKUP(J210,'CERT C'!$A$2:$E$94,5,FALSE),IF(I210="DEFECT",VLOOKUP(J210,Defect!$B$2:$D$97,3,FALSE),IF(I210="SPARROW",VLOOKUP(J210,#REF!,3,FALSE),"")))="Unreviewed", 1, 0)</f>
        <v>0</v>
      </c>
    </row>
    <row r="211" spans="1:12">
      <c r="A211" s="31"/>
      <c r="B211" s="31"/>
      <c r="C211" s="26"/>
      <c r="D211" s="26"/>
      <c r="E211" s="26"/>
      <c r="F211" s="26"/>
      <c r="G211" s="28"/>
      <c r="H211" s="9">
        <f>IF(I211="CERT_C",VLOOKUP(J211,'CERT C'!$A$2:$D$94,4,FALSE),IF(I211="DEFECT",VLOOKUP(J211,Defect!$B$2:$C$97,2,FALSE),IF(I211="SPARROW",VLOOKUP(J211,#REF!,2,FALSE),"")))</f>
        <v>0</v>
      </c>
      <c r="I211" s="15" t="s">
        <v>289</v>
      </c>
      <c r="J211" s="13" t="s">
        <v>762</v>
      </c>
      <c r="K211" s="26"/>
      <c r="L211" s="8">
        <f>IF(IF(I211="CERT_C",VLOOKUP(J211,'CERT C'!$A$2:$E$94,5,FALSE),IF(I211="DEFECT",VLOOKUP(J211,Defect!$B$2:$D$97,3,FALSE),IF(I211="SPARROW",VLOOKUP(J211,#REF!,3,FALSE),"")))="Unreviewed", 1, 0)</f>
        <v>0</v>
      </c>
    </row>
    <row r="212" spans="1:12">
      <c r="A212" s="31"/>
      <c r="B212" s="31"/>
      <c r="C212" s="25" t="s">
        <v>294</v>
      </c>
      <c r="D212" s="25" t="s">
        <v>293</v>
      </c>
      <c r="E212" s="25" t="s">
        <v>292</v>
      </c>
      <c r="F212" s="25" t="str">
        <f>IF(G212="","",IF(G212&lt;=0,"P","F"))</f>
        <v>F</v>
      </c>
      <c r="G212" s="27">
        <f>SUMIF(H212:H214,"&lt;&gt;#N/A")</f>
        <v>1</v>
      </c>
      <c r="H212" s="9">
        <f>IF(I212="CERT_C",VLOOKUP(J212,'CERT C'!$A$2:$D$94,4,FALSE),IF(I212="DEFECT",VLOOKUP(J212,Defect!$B$2:$C$97,2,FALSE),IF(I212="SPARROW",VLOOKUP(J212,#REF!,2,FALSE),"")))</f>
        <v>1</v>
      </c>
      <c r="I212" s="9" t="s">
        <v>289</v>
      </c>
      <c r="J212" s="14" t="s">
        <v>291</v>
      </c>
      <c r="K212" s="25">
        <f>IF(SUM(L212:L214) &gt; 0, 1, 0)</f>
        <v>0</v>
      </c>
      <c r="L212" s="8">
        <f>IF(IF(I212="CERT_C",VLOOKUP(J212,'CERT C'!$A$2:$E$94,5,FALSE),IF(I212="DEFECT",VLOOKUP(J212,Defect!$B$2:$D$97,3,FALSE),IF(I212="SPARROW",VLOOKUP(J212,#REF!,3,FALSE),"")))="Unreviewed", 1, 0)</f>
        <v>0</v>
      </c>
    </row>
    <row r="213" spans="1:12">
      <c r="A213" s="31"/>
      <c r="B213" s="31"/>
      <c r="C213" s="30"/>
      <c r="D213" s="30"/>
      <c r="E213" s="30"/>
      <c r="F213" s="30"/>
      <c r="G213" s="29"/>
      <c r="H213" s="9">
        <f>IF(I213="CERT_C",VLOOKUP(J213,'CERT C'!$A$2:$D$94,4,FALSE),IF(I213="DEFECT",VLOOKUP(J213,Defect!$B$2:$C$97,2,FALSE),IF(I213="SPARROW",VLOOKUP(J213,#REF!,2,FALSE),"")))</f>
        <v>0</v>
      </c>
      <c r="I213" s="9" t="s">
        <v>289</v>
      </c>
      <c r="J213" s="14" t="s">
        <v>290</v>
      </c>
      <c r="K213" s="30"/>
      <c r="L213" s="8">
        <f>IF(IF(I213="CERT_C",VLOOKUP(J213,'CERT C'!$A$2:$E$94,5,FALSE),IF(I213="DEFECT",VLOOKUP(J213,Defect!$B$2:$D$97,3,FALSE),IF(I213="SPARROW",VLOOKUP(J213,#REF!,3,FALSE),"")))="Unreviewed", 1, 0)</f>
        <v>0</v>
      </c>
    </row>
    <row r="214" spans="1:12">
      <c r="A214" s="31"/>
      <c r="B214" s="31"/>
      <c r="C214" s="26"/>
      <c r="D214" s="26"/>
      <c r="E214" s="26"/>
      <c r="F214" s="26"/>
      <c r="G214" s="28"/>
      <c r="H214" s="9">
        <f>IF(I214="CERT_C",VLOOKUP(J214,'CERT C'!$A$2:$D$94,4,FALSE),IF(I214="DEFECT",VLOOKUP(J214,Defect!$B$2:$C$97,2,FALSE),IF(I214="SPARROW",VLOOKUP(J214,#REF!,2,FALSE),"")))</f>
        <v>0</v>
      </c>
      <c r="I214" s="9" t="s">
        <v>289</v>
      </c>
      <c r="J214" s="14" t="s">
        <v>288</v>
      </c>
      <c r="K214" s="26"/>
      <c r="L214" s="8">
        <f>IF(IF(I214="CERT_C",VLOOKUP(J214,'CERT C'!$A$2:$E$94,5,FALSE),IF(I214="DEFECT",VLOOKUP(J214,Defect!$B$2:$D$97,3,FALSE),IF(I214="SPARROW",VLOOKUP(J214,#REF!,3,FALSE),"")))="Unreviewed", 1, 0)</f>
        <v>0</v>
      </c>
    </row>
    <row r="215" spans="1:12">
      <c r="J215" s="5"/>
    </row>
    <row r="216" spans="1:12" ht="16.5" customHeight="1">
      <c r="A216" s="32" t="s">
        <v>287</v>
      </c>
      <c r="B216" s="32"/>
      <c r="C216" s="32"/>
      <c r="D216" s="32"/>
      <c r="E216" s="32"/>
      <c r="F216" s="32"/>
      <c r="G216" s="32"/>
      <c r="H216" s="32"/>
      <c r="I216" s="32"/>
      <c r="J216" s="32"/>
    </row>
    <row r="217" spans="1:12" ht="61.5" customHeight="1">
      <c r="A217" s="33" t="s">
        <v>783</v>
      </c>
      <c r="B217" s="33"/>
      <c r="C217" s="33"/>
      <c r="D217" s="33"/>
      <c r="E217" s="33"/>
      <c r="F217" s="33"/>
      <c r="G217" s="33"/>
      <c r="H217" s="33"/>
      <c r="I217" s="33"/>
      <c r="J217" s="33"/>
    </row>
  </sheetData>
  <autoFilter ref="A1:J214" xr:uid="{00000000-0009-0000-0000-000003000000}"/>
  <mergeCells count="150">
    <mergeCell ref="D212:D214"/>
    <mergeCell ref="B2:B4"/>
    <mergeCell ref="B44:B72"/>
    <mergeCell ref="B73:B102"/>
    <mergeCell ref="C80:C83"/>
    <mergeCell ref="D41:D43"/>
    <mergeCell ref="D26:D32"/>
    <mergeCell ref="D47:D56"/>
    <mergeCell ref="D60:D61"/>
    <mergeCell ref="D80:D83"/>
    <mergeCell ref="D86:D97"/>
    <mergeCell ref="B194:B214"/>
    <mergeCell ref="B127:B128"/>
    <mergeCell ref="B103:B105"/>
    <mergeCell ref="B18:B43"/>
    <mergeCell ref="D210:D211"/>
    <mergeCell ref="C180:C181"/>
    <mergeCell ref="C182:C183"/>
    <mergeCell ref="D180:D181"/>
    <mergeCell ref="C84:C85"/>
    <mergeCell ref="D84:D85"/>
    <mergeCell ref="B5:B17"/>
    <mergeCell ref="Q1:R1"/>
    <mergeCell ref="N1:N2"/>
    <mergeCell ref="O1:O2"/>
    <mergeCell ref="P1:P2"/>
    <mergeCell ref="S1:S2"/>
    <mergeCell ref="E86:E97"/>
    <mergeCell ref="F86:F97"/>
    <mergeCell ref="G86:G97"/>
    <mergeCell ref="K86:K97"/>
    <mergeCell ref="E80:E83"/>
    <mergeCell ref="F80:F83"/>
    <mergeCell ref="G80:G83"/>
    <mergeCell ref="K80:K83"/>
    <mergeCell ref="E16:E17"/>
    <mergeCell ref="E84:E85"/>
    <mergeCell ref="F84:F85"/>
    <mergeCell ref="G84:G85"/>
    <mergeCell ref="K16:K17"/>
    <mergeCell ref="G16:G17"/>
    <mergeCell ref="F16:F17"/>
    <mergeCell ref="K84:K85"/>
    <mergeCell ref="A216:J216"/>
    <mergeCell ref="A217:J217"/>
    <mergeCell ref="A106:A139"/>
    <mergeCell ref="B129:B139"/>
    <mergeCell ref="B106:B112"/>
    <mergeCell ref="B113:B122"/>
    <mergeCell ref="B123:B126"/>
    <mergeCell ref="A194:A214"/>
    <mergeCell ref="B140:B193"/>
    <mergeCell ref="A140:A193"/>
    <mergeCell ref="C121:C122"/>
    <mergeCell ref="E121:E122"/>
    <mergeCell ref="F121:F122"/>
    <mergeCell ref="G121:G122"/>
    <mergeCell ref="G171:G179"/>
    <mergeCell ref="C184:C189"/>
    <mergeCell ref="C190:C193"/>
    <mergeCell ref="E180:E181"/>
    <mergeCell ref="E182:E183"/>
    <mergeCell ref="E184:E189"/>
    <mergeCell ref="E190:E193"/>
    <mergeCell ref="C212:C214"/>
    <mergeCell ref="E212:E214"/>
    <mergeCell ref="F212:F214"/>
    <mergeCell ref="A2:A105"/>
    <mergeCell ref="C41:C43"/>
    <mergeCell ref="E41:E43"/>
    <mergeCell ref="F41:F43"/>
    <mergeCell ref="G41:G43"/>
    <mergeCell ref="K41:K43"/>
    <mergeCell ref="C26:C32"/>
    <mergeCell ref="E26:E32"/>
    <mergeCell ref="F26:F32"/>
    <mergeCell ref="G26:G32"/>
    <mergeCell ref="K26:K32"/>
    <mergeCell ref="C60:C61"/>
    <mergeCell ref="E60:E61"/>
    <mergeCell ref="F60:F61"/>
    <mergeCell ref="G60:G61"/>
    <mergeCell ref="K60:K61"/>
    <mergeCell ref="C47:C56"/>
    <mergeCell ref="E47:E56"/>
    <mergeCell ref="F47:F56"/>
    <mergeCell ref="G47:G56"/>
    <mergeCell ref="K47:K56"/>
    <mergeCell ref="C86:C97"/>
    <mergeCell ref="C16:C17"/>
    <mergeCell ref="D16:D17"/>
    <mergeCell ref="K121:K122"/>
    <mergeCell ref="C150:C154"/>
    <mergeCell ref="E150:E154"/>
    <mergeCell ref="F150:F154"/>
    <mergeCell ref="G150:G154"/>
    <mergeCell ref="K150:K154"/>
    <mergeCell ref="C98:C102"/>
    <mergeCell ref="E98:E102"/>
    <mergeCell ref="F98:F102"/>
    <mergeCell ref="G98:G102"/>
    <mergeCell ref="K98:K102"/>
    <mergeCell ref="D98:D102"/>
    <mergeCell ref="D121:D122"/>
    <mergeCell ref="D150:D154"/>
    <mergeCell ref="E210:E211"/>
    <mergeCell ref="C210:C211"/>
    <mergeCell ref="K171:K179"/>
    <mergeCell ref="C160:C170"/>
    <mergeCell ref="E160:E170"/>
    <mergeCell ref="F160:F170"/>
    <mergeCell ref="G160:G170"/>
    <mergeCell ref="K160:K170"/>
    <mergeCell ref="C155:C159"/>
    <mergeCell ref="E155:E159"/>
    <mergeCell ref="F155:F159"/>
    <mergeCell ref="G155:G159"/>
    <mergeCell ref="K155:K159"/>
    <mergeCell ref="C171:C179"/>
    <mergeCell ref="E171:E179"/>
    <mergeCell ref="F171:F179"/>
    <mergeCell ref="D155:D159"/>
    <mergeCell ref="D160:D170"/>
    <mergeCell ref="D171:D179"/>
    <mergeCell ref="D182:D183"/>
    <mergeCell ref="D184:D189"/>
    <mergeCell ref="D190:D193"/>
    <mergeCell ref="D202:D208"/>
    <mergeCell ref="C202:C208"/>
    <mergeCell ref="E202:E208"/>
    <mergeCell ref="F202:F208"/>
    <mergeCell ref="G202:G208"/>
    <mergeCell ref="K202:K208"/>
    <mergeCell ref="F180:F181"/>
    <mergeCell ref="F182:F183"/>
    <mergeCell ref="F184:F189"/>
    <mergeCell ref="F190:F193"/>
    <mergeCell ref="G180:G181"/>
    <mergeCell ref="G182:G183"/>
    <mergeCell ref="G184:G189"/>
    <mergeCell ref="G190:G193"/>
    <mergeCell ref="F210:F211"/>
    <mergeCell ref="G210:G211"/>
    <mergeCell ref="K210:K211"/>
    <mergeCell ref="G212:G214"/>
    <mergeCell ref="K212:K214"/>
    <mergeCell ref="K180:K181"/>
    <mergeCell ref="K182:K183"/>
    <mergeCell ref="K184:K189"/>
    <mergeCell ref="K190:K193"/>
  </mergeCells>
  <phoneticPr fontId="1" type="noConversion"/>
  <pageMargins left="0.7" right="0.7" top="0.75" bottom="0.75" header="0.3" footer="0.3"/>
  <pageSetup paperSize="9" scale="37" fitToHeight="0" orientation="portrait" r:id="rId1"/>
  <headerFooter>
    <oddFooter>&amp;L_x000D_&amp;1#&amp;"Calibri"&amp;10&amp;K000000 본 문서는 현대자동차·기아의 정보자산으로 귀사와의 비밀유지계약 및 제반법률에 따라 법적 보호를 받습니다.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24866-8FF1-4F8B-8268-5AA69E83692C}">
  <sheetPr codeName="Sheet5"/>
  <dimension ref="B2:E5"/>
  <sheetViews>
    <sheetView workbookViewId="0">
      <selection activeCell="D3" sqref="D3"/>
    </sheetView>
  </sheetViews>
  <sheetFormatPr defaultRowHeight="16.5"/>
  <cols>
    <col min="2" max="2" width="11.25" customWidth="1"/>
    <col min="3" max="3" width="15" customWidth="1"/>
    <col min="4" max="4" width="61.5" customWidth="1"/>
    <col min="5" max="5" width="19.25" customWidth="1"/>
  </cols>
  <sheetData>
    <row r="2" spans="2:5">
      <c r="B2" s="16" t="s">
        <v>775</v>
      </c>
      <c r="C2" s="17" t="s">
        <v>778</v>
      </c>
      <c r="D2" s="16" t="s">
        <v>776</v>
      </c>
      <c r="E2" s="16" t="s">
        <v>777</v>
      </c>
    </row>
    <row r="3" spans="2:5" ht="129">
      <c r="B3" s="18">
        <v>45174</v>
      </c>
      <c r="C3" s="19" t="s">
        <v>779</v>
      </c>
      <c r="D3" s="20" t="s">
        <v>784</v>
      </c>
      <c r="E3" s="21" t="s">
        <v>780</v>
      </c>
    </row>
    <row r="4" spans="2:5">
      <c r="B4" s="18"/>
      <c r="C4" s="19"/>
      <c r="D4" s="19"/>
      <c r="E4" s="19"/>
    </row>
    <row r="5" spans="2:5">
      <c r="B5" s="22"/>
      <c r="C5" s="23"/>
      <c r="D5" s="19"/>
      <c r="E5" s="19"/>
    </row>
  </sheetData>
  <phoneticPr fontId="1" type="noConversion"/>
  <pageMargins left="0.7" right="0.7" top="0.75" bottom="0.75" header="0.3" footer="0.3"/>
  <pageSetup paperSize="9" orientation="portrait" r:id="rId1"/>
  <headerFooter>
    <oddFooter>&amp;L_x000D_&amp;1#&amp;"Calibri"&amp;10&amp;K000000 본 문서는 현대자동차·기아의 정보자산으로 귀사와의 비밀유지계약 및 제반법률에 따라 법적 보호를 받습니다.</oddFooter>
  </headerFooter>
  <legacyDrawing r:id="rId2"/>
</worksheet>
</file>

<file path=docMetadata/LabelInfo.xml><?xml version="1.0" encoding="utf-8"?>
<clbl:labelList xmlns:clbl="http://schemas.microsoft.com/office/2020/mipLabelMetadata">
  <clbl:label id="{f0060d82-8c13-4667-8f41-3eac58da9617}" enabled="1" method="Privileged" siteId="{c3009ee9-85dd-4ecf-a86f-79941767d706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Macro</vt:lpstr>
      <vt:lpstr>CERT C</vt:lpstr>
      <vt:lpstr>Defect</vt:lpstr>
      <vt:lpstr>보안코딩성적</vt:lpstr>
      <vt:lpstr>Template Revision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클래식오토사팀/신형민</dc:creator>
  <cp:lastModifiedBy>임경철 책임연구원 전자네트워크개발팀</cp:lastModifiedBy>
  <dcterms:created xsi:type="dcterms:W3CDTF">2022-07-14T07:25:14Z</dcterms:created>
  <dcterms:modified xsi:type="dcterms:W3CDTF">2024-07-29T05:47:24Z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0060d82-8c13-4667-8f41-3eac58da9617_Enabled">
    <vt:lpwstr>true</vt:lpwstr>
  </property>
  <property fmtid="{D5CDD505-2E9C-101B-9397-08002B2CF9AE}" pid="3" name="MSIP_Label_f0060d82-8c13-4667-8f41-3eac58da9617_SetDate">
    <vt:lpwstr>2023-09-05T10:33:03Z</vt:lpwstr>
  </property>
  <property fmtid="{D5CDD505-2E9C-101B-9397-08002B2CF9AE}" pid="4" name="MSIP_Label_f0060d82-8c13-4667-8f41-3eac58da9617_Method">
    <vt:lpwstr>Privileged</vt:lpwstr>
  </property>
  <property fmtid="{D5CDD505-2E9C-101B-9397-08002B2CF9AE}" pid="5" name="MSIP_Label_f0060d82-8c13-4667-8f41-3eac58da9617_Name">
    <vt:lpwstr>일반(Anyuser)</vt:lpwstr>
  </property>
  <property fmtid="{D5CDD505-2E9C-101B-9397-08002B2CF9AE}" pid="6" name="MSIP_Label_f0060d82-8c13-4667-8f41-3eac58da9617_SiteId">
    <vt:lpwstr>c3009ee9-85dd-4ecf-a86f-79941767d706</vt:lpwstr>
  </property>
  <property fmtid="{D5CDD505-2E9C-101B-9397-08002B2CF9AE}" pid="7" name="MSIP_Label_f0060d82-8c13-4667-8f41-3eac58da9617_ActionId">
    <vt:lpwstr>fda2c63e-1456-4a57-ad39-68669c718218</vt:lpwstr>
  </property>
  <property fmtid="{D5CDD505-2E9C-101B-9397-08002B2CF9AE}" pid="8" name="MSIP_Label_f0060d82-8c13-4667-8f41-3eac58da9617_ContentBits">
    <vt:lpwstr>2</vt:lpwstr>
  </property>
  <property fmtid="{D5CDD505-2E9C-101B-9397-08002B2CF9AE}" pid="9" name="MSIP_Label_84883e49-c40c-4c70-af6e-4047d87bba49_Enabled">
    <vt:lpwstr>true</vt:lpwstr>
  </property>
  <property fmtid="{D5CDD505-2E9C-101B-9397-08002B2CF9AE}" pid="10" name="MSIP_Label_84883e49-c40c-4c70-af6e-4047d87bba49_SetDate">
    <vt:lpwstr>2024-07-20T01:54:43Z</vt:lpwstr>
  </property>
  <property fmtid="{D5CDD505-2E9C-101B-9397-08002B2CF9AE}" pid="11" name="MSIP_Label_84883e49-c40c-4c70-af6e-4047d87bba49_Method">
    <vt:lpwstr>Privileged</vt:lpwstr>
  </property>
  <property fmtid="{D5CDD505-2E9C-101B-9397-08002B2CF9AE}" pid="12" name="MSIP_Label_84883e49-c40c-4c70-af6e-4047d87bba49_Name">
    <vt:lpwstr>평문 (AnyUser)</vt:lpwstr>
  </property>
  <property fmtid="{D5CDD505-2E9C-101B-9397-08002B2CF9AE}" pid="13" name="MSIP_Label_84883e49-c40c-4c70-af6e-4047d87bba49_SiteId">
    <vt:lpwstr>f85ca5f1-aa23-4252-a83a-443d333b1fe7</vt:lpwstr>
  </property>
  <property fmtid="{D5CDD505-2E9C-101B-9397-08002B2CF9AE}" pid="14" name="MSIP_Label_84883e49-c40c-4c70-af6e-4047d87bba49_ActionId">
    <vt:lpwstr>7af36f33-81c3-4a37-9570-30d8812f1e06</vt:lpwstr>
  </property>
  <property fmtid="{D5CDD505-2E9C-101B-9397-08002B2CF9AE}" pid="15" name="MSIP_Label_84883e49-c40c-4c70-af6e-4047d87bba49_ContentBits">
    <vt:lpwstr>2</vt:lpwstr>
  </property>
</Properties>
</file>